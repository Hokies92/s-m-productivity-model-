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2) What-If Scenarios" sheetId="3" state="visible" r:id="rId3"/>
  </sheets>
  <definedNames>
    <definedName name="v_baseline_banner">'1) Data Entry'!$F$4</definedName>
    <definedName name="v_scope_business">'1) Data Entry'!$H$11</definedName>
    <definedName name="v_period_start">'1) Data Entry'!$H$12</definedName>
    <definedName name="v_period_end">'1) Data Entry'!$H$13</definedName>
    <definedName name="v_currency">'1) Data Entry'!$H$14</definedName>
    <definedName name="v_revenue_basis">'1) Data Entry'!$H$15</definedName>
    <definedName name="v_segmentation_basis">'1) Data Entry'!$H$17</definedName>
    <definedName name="v_theory_of_buying">'1) Data Entry'!$H$18</definedName>
    <definedName name="v_system_goal">'1) Data Entry'!$H$19</definedName>
    <definedName name="v_revenue">'1) Data Entry'!$H$21</definedName>
    <definedName name="v_contracts">'1) Data Entry'!$H$22</definedName>
    <definedName name="v_plan_target">'1) Data Entry'!$H$23</definedName>
    <definedName name="v_cost_of_revenue_amt">'1) Data Entry'!$H$24</definedName>
    <definedName name="v_rnd_amt">'1) Data Entry'!$H$25</definedName>
    <definedName name="v_gna_amt">'1) Data Entry'!$H$26</definedName>
    <definedName name="v_cost_of_revenue_pct">'1) Data Entry'!$H$27</definedName>
    <definedName name="v_rnd_pct">'1) Data Entry'!$H$28</definedName>
    <definedName name="v_gna_pct">'1) Data Entry'!$H$29</definedName>
    <definedName name="v_base_salary">'1) Data Entry'!$H$31</definedName>
    <definedName name="v_load_rate">'1) Data Entry'!$H$32</definedName>
    <definedName name="v_loaded_salary">'1) Data Entry'!$H$33</definedName>
    <definedName name="v_trip_fare">'1) Data Entry'!$H$34</definedName>
    <definedName name="v_trip_ground">'1) Data Entry'!$H$35</definedName>
    <definedName name="v_trip_meals">'1) Data Entry'!$H$36</definedName>
    <definedName name="v_trip_lodging">'1) Data Entry'!$H$37</definedName>
    <definedName name="v_trip_days">'1) Data Entry'!$H$38</definedName>
    <definedName name="v_trip_entertainment">'1) Data Entry'!$H$39</definedName>
    <definedName name="v_trips_per_year">'1) Data Entry'!$H$40</definedName>
    <definedName name="v_travel_per_salesperson">'1) Data Entry'!$H$41</definedName>
    <definedName name="v_oh_managers">'1) Data Entry'!$H$42</definedName>
    <definedName name="v_oh_engineers">'1) Data Entry'!$H$43</definedName>
    <definedName name="v_oh_admin">'1) Data Entry'!$H$44</definedName>
    <definedName name="v_oh_training">'1) Data Entry'!$H$45</definedName>
    <definedName name="v_oh_incentives">'1) Data Entry'!$H$46</definedName>
    <definedName name="v_sales_overhead">'1) Data Entry'!$H$47</definedName>
    <definedName name="v_mk_people">'1) Data Entry'!$H$48</definedName>
    <definedName name="v_mk_web">'1) Data Entry'!$H$49</definedName>
    <definedName name="v_mk_events">'1) Data Entry'!$H$50</definedName>
    <definedName name="v_mk_ads">'1) Data Entry'!$H$51</definedName>
    <definedName name="v_mk_mail">'1) Data Entry'!$H$52</definedName>
    <definedName name="v_mk_leadgen">'1) Data Entry'!$H$53</definedName>
    <definedName name="v_mk_brand">'1) Data Entry'!$H$54</definedName>
    <definedName name="v_mk_collateral">'1) Data Entry'!$H$55</definedName>
    <definedName name="v_marketing">'1) Data Entry'!$H$56</definedName>
    <definedName name="v_commissions_paid">'1) Data Entry'!$H$57</definedName>
    <definedName name="v_sales_comp_expense">'1) Data Entry'!$H$58</definedName>
    <definedName name="v_filled_seats">'1) Data Entry'!$H$60</definedName>
    <definedName name="v_hires">'1) Data Entry'!$H$61</definedName>
    <definedName name="v_departures">'1) Data Entry'!$H$62</definedName>
    <definedName name="v_productive_salespeople">'1) Data Entry'!$H$63</definedName>
    <definedName name="v_territory_count">'1) Data Entry'!$H$65</definedName>
    <definedName name="v_open_territories">'1) Data Entry'!$H$66</definedName>
    <definedName name="v_expected_yield">'1) Data Entry'!$H$67</definedName>
    <definedName name="v_opps_won">'1) Data Entry'!$H$69</definedName>
    <definedName name="v_opps_lost">'1) Data Entry'!$H$70</definedName>
    <definedName name="v_win_rate">'1) Data Entry'!$H$71</definedName>
    <definedName name="v_cycle_months">'1) Data Entry'!$H$72</definedName>
    <definedName name="v_deal_size">'1) Data Entry'!$H$73</definedName>
    <definedName name="v_open_opps_total">'1) Data Entry'!$H$74</definedName>
    <definedName name="v_opportunities_load">'1) Data Entry'!$H$75</definedName>
    <definedName name="v_opportunities_capacity">'1) Data Entry'!$H$76</definedName>
    <definedName name="v_commission_rate">'1) Data Entry'!$H$78</definedName>
    <definedName name="v_ramp_months">'1) Data Entry'!$H$80</definedName>
    <definedName name="v_time_to_fill_days">'1) Data Entry'!$H$81</definedName>
    <definedName name="v_approval_days">'1) Data Entry'!$H$82</definedName>
    <definedName name="v_qualification_definition">'1) Data Entry'!$H$84</definedName>
    <definedName name="v_hiring_approval_rule">'1) Data Entry'!$H$85</definedName>
    <definedName name="v_design_authority">'1) Data Entry'!$H$86</definedName>
    <definedName name="wi_view">'2) What-If Scenarios'!$B$4</definedName>
    <definedName name="wi_compare">'2) What-If Scenarios'!$B$5</definedName>
    <definedName name="_xlnm.Print_Titles" localSheetId="1">'1) Data Entry'!$9:$9</definedName>
  </definedNames>
  <calcPr calcId="124519" fullCalcOnLoad="1"/>
</workbook>
</file>

<file path=xl/styles.xml><?xml version="1.0" encoding="utf-8"?>
<styleSheet xmlns="http://schemas.openxmlformats.org/spreadsheetml/2006/main">
  <numFmts count="8">
    <numFmt numFmtId="164" formatCode="yyyy-mm-dd"/>
    <numFmt numFmtId="165" formatCode="$#,##0;($#,##0);&quot;-&quot;"/>
    <numFmt numFmtId="166" formatCode="+0%;-0%;0%"/>
    <numFmt numFmtId="167" formatCode="0.0%"/>
    <numFmt numFmtId="168" formatCode="#,##0.0"/>
    <numFmt numFmtId="169" formatCode="0.0"/>
    <numFmt numFmtId="170" formatCode="+0%;-0%;&quot;&quot;"/>
    <numFmt numFmtId="171" formatCode="+0.0%;-0.0%;0.0%"/>
  </numFmts>
  <fonts count="10">
    <font>
      <name val="Calibri"/>
      <family val="2"/>
      <color theme="1"/>
      <sz val="11"/>
      <scheme val="minor"/>
    </font>
    <font>
      <name val="Arial"/>
      <b val="1"/>
      <sz val="16"/>
    </font>
    <font>
      <name val="Arial"/>
      <i val="1"/>
      <color rgb="00595959"/>
      <sz val="9"/>
    </font>
    <font>
      <name val="Arial"/>
      <b val="1"/>
      <sz val="12"/>
    </font>
    <font>
      <name val="Arial"/>
      <sz val="10"/>
    </font>
    <font>
      <name val="Arial"/>
      <b val="1"/>
      <sz val="10"/>
    </font>
    <font>
      <name val="Arial"/>
      <b val="1"/>
      <color rgb="00FFFFFF"/>
      <sz val="10"/>
    </font>
    <font>
      <name val="Arial"/>
      <color rgb="000000FF"/>
      <sz val="10"/>
    </font>
    <font>
      <name val="Arial"/>
      <b val="1"/>
      <color rgb="000000FF"/>
      <sz val="10"/>
    </font>
    <font>
      <name val="Arial"/>
      <color rgb="00404040"/>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FCE4D6"/>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1F3864"/>
      </left>
      <right style="medium">
        <color rgb="001F3864"/>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2" borderId="1" pivotButton="0" quotePrefix="0" xfId="0"/>
    <xf numFmtId="0" fontId="5" fillId="0" borderId="0" pivotButton="0" quotePrefix="0" xfId="0"/>
    <xf numFmtId="0" fontId="4" fillId="0" borderId="0" pivotButton="0" quotePrefix="0" xfId="0"/>
    <xf numFmtId="0" fontId="0" fillId="3" borderId="1" pivotButton="0" quotePrefix="0" xfId="0"/>
    <xf numFmtId="0" fontId="0" fillId="4" borderId="1" pivotButton="0" quotePrefix="0" xfId="0"/>
    <xf numFmtId="0" fontId="6" fillId="5" borderId="1" pivotButton="0" quotePrefix="0" xfId="0"/>
    <xf numFmtId="0" fontId="4" fillId="0" borderId="1" applyAlignment="1" pivotButton="0" quotePrefix="0" xfId="0">
      <alignment horizontal="center" vertical="top"/>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7" fillId="2" borderId="1" pivotButton="0" quotePrefix="0" xfId="0"/>
    <xf numFmtId="0" fontId="5" fillId="6" borderId="0" pivotButton="0" quotePrefix="0" xfId="0"/>
    <xf numFmtId="0" fontId="5" fillId="0" borderId="0" applyAlignment="1" pivotButton="0" quotePrefix="0" xfId="0">
      <alignment horizontal="center" vertical="top"/>
    </xf>
    <xf numFmtId="0" fontId="2" fillId="0" borderId="0" applyAlignment="1" pivotButton="0" quotePrefix="0" xfId="0">
      <alignment horizontal="center" vertical="top"/>
    </xf>
    <xf numFmtId="0" fontId="6" fillId="5" borderId="1" applyAlignment="1" pivotButton="0" quotePrefix="0" xfId="0">
      <alignment vertical="center" wrapText="1"/>
    </xf>
    <xf numFmtId="0" fontId="5" fillId="7" borderId="0" pivotButton="0" quotePrefix="0" xfId="0"/>
    <xf numFmtId="0" fontId="0" fillId="7" borderId="0"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49" fontId="8" fillId="2" borderId="2" applyAlignment="1" pivotButton="0" quotePrefix="0" xfId="0">
      <alignment vertical="top" wrapText="1"/>
    </xf>
    <xf numFmtId="164" fontId="8" fillId="2" borderId="2" applyAlignment="1" pivotButton="0" quotePrefix="0" xfId="0">
      <alignment vertical="top" wrapText="1"/>
    </xf>
    <xf numFmtId="0" fontId="7" fillId="2" borderId="1" applyAlignment="1" pivotButton="0" quotePrefix="0" xfId="0">
      <alignment vertical="top" wrapText="1"/>
    </xf>
    <xf numFmtId="49" fontId="5" fillId="4" borderId="2" applyAlignment="1" pivotButton="0" quotePrefix="0" xfId="0">
      <alignment vertical="top" wrapText="1"/>
    </xf>
    <xf numFmtId="49" fontId="7" fillId="2" borderId="1" applyAlignment="1" pivotButton="0" quotePrefix="0" xfId="0">
      <alignment vertical="top" wrapText="1"/>
    </xf>
    <xf numFmtId="0" fontId="4" fillId="3" borderId="1" applyAlignment="1" pivotButton="0" quotePrefix="0" xfId="0">
      <alignment vertical="top" wrapText="1"/>
    </xf>
    <xf numFmtId="165" fontId="5" fillId="4" borderId="2" applyAlignment="1" pivotButton="0" quotePrefix="0" xfId="0">
      <alignment vertical="top" wrapText="1"/>
    </xf>
    <xf numFmtId="165" fontId="7" fillId="2" borderId="1" applyAlignment="1" pivotButton="0" quotePrefix="0" xfId="0">
      <alignment vertical="top" wrapText="1"/>
    </xf>
    <xf numFmtId="166" fontId="4" fillId="3" borderId="1" applyAlignment="1" pivotButton="0" quotePrefix="0" xfId="0">
      <alignment vertical="top" wrapText="1"/>
    </xf>
    <xf numFmtId="3" fontId="5" fillId="4" borderId="2" applyAlignment="1" pivotButton="0" quotePrefix="0" xfId="0">
      <alignment vertical="top" wrapText="1"/>
    </xf>
    <xf numFmtId="3" fontId="7" fillId="2" borderId="1" applyAlignment="1" pivotButton="0" quotePrefix="0" xfId="0">
      <alignment vertical="top" wrapText="1"/>
    </xf>
    <xf numFmtId="0" fontId="9" fillId="0" borderId="1" applyAlignment="1" pivotButton="0" quotePrefix="0" xfId="0">
      <alignment vertical="top" wrapText="1"/>
    </xf>
    <xf numFmtId="167" fontId="5" fillId="4" borderId="2" applyAlignment="1" pivotButton="0" quotePrefix="0" xfId="0">
      <alignment vertical="top" wrapText="1"/>
    </xf>
    <xf numFmtId="167" fontId="7" fillId="2" borderId="1" applyAlignment="1" pivotButton="0" quotePrefix="0" xfId="0">
      <alignment vertical="top" wrapText="1"/>
    </xf>
    <xf numFmtId="167" fontId="4" fillId="3" borderId="1" applyAlignment="1" pivotButton="0" quotePrefix="0" xfId="0">
      <alignment vertical="top" wrapText="1"/>
    </xf>
    <xf numFmtId="165" fontId="4" fillId="3" borderId="1" applyAlignment="1" pivotButton="0" quotePrefix="0" xfId="0">
      <alignment vertical="top" wrapText="1"/>
    </xf>
    <xf numFmtId="168" fontId="5" fillId="4" borderId="2" applyAlignment="1" pivotButton="0" quotePrefix="0" xfId="0">
      <alignment vertical="top" wrapText="1"/>
    </xf>
    <xf numFmtId="168" fontId="7" fillId="2" borderId="1" applyAlignment="1" pivotButton="0" quotePrefix="0" xfId="0">
      <alignment vertical="top" wrapText="1"/>
    </xf>
    <xf numFmtId="168" fontId="4" fillId="3" borderId="1" applyAlignment="1" pivotButton="0" quotePrefix="0" xfId="0">
      <alignment vertical="top" wrapText="1"/>
    </xf>
    <xf numFmtId="169" fontId="5" fillId="4" borderId="2" applyAlignment="1" pivotButton="0" quotePrefix="0" xfId="0">
      <alignment vertical="top" wrapText="1"/>
    </xf>
    <xf numFmtId="169" fontId="7" fillId="2" borderId="1" applyAlignment="1" pivotButton="0" quotePrefix="0" xfId="0">
      <alignment vertical="top" wrapText="1"/>
    </xf>
    <xf numFmtId="9" fontId="7" fillId="2" borderId="1" applyAlignment="1" pivotButton="0" quotePrefix="0" xfId="0">
      <alignment vertical="top" wrapText="1"/>
    </xf>
    <xf numFmtId="0" fontId="5" fillId="0" borderId="1" applyAlignment="1" pivotButton="0" quotePrefix="0" xfId="0">
      <alignment horizontal="center" vertical="top"/>
    </xf>
    <xf numFmtId="166" fontId="0" fillId="3" borderId="1" pivotButton="0" quotePrefix="0" xfId="0"/>
    <xf numFmtId="3" fontId="4" fillId="3" borderId="1" applyAlignment="1" pivotButton="0" quotePrefix="0" xfId="0">
      <alignment vertical="top" wrapText="1"/>
    </xf>
    <xf numFmtId="4" fontId="4" fillId="3" borderId="1" applyAlignment="1" pivotButton="0" quotePrefix="0" xfId="0">
      <alignment vertical="top" wrapText="1"/>
    </xf>
    <xf numFmtId="9" fontId="4" fillId="3" borderId="1" applyAlignment="1" pivotButton="0" quotePrefix="0" xfId="0">
      <alignment vertical="top" wrapText="1"/>
    </xf>
    <xf numFmtId="0" fontId="0" fillId="3" borderId="0" pivotButton="0" quotePrefix="0" xfId="0"/>
    <xf numFmtId="170" fontId="7" fillId="2" borderId="1" pivotButton="0" quotePrefix="0" xfId="0"/>
    <xf numFmtId="3" fontId="7" fillId="2" borderId="1" pivotButton="0" quotePrefix="0" xfId="0"/>
    <xf numFmtId="165" fontId="7" fillId="2" borderId="1" pivotButton="0" quotePrefix="0" xfId="0"/>
    <xf numFmtId="168" fontId="4" fillId="3" borderId="1" pivotButton="0" quotePrefix="0" xfId="0"/>
    <xf numFmtId="169" fontId="4" fillId="3" borderId="1" pivotButton="0" quotePrefix="0" xfId="0"/>
    <xf numFmtId="9" fontId="4" fillId="3" borderId="1" pivotButton="0" quotePrefix="0" xfId="0"/>
    <xf numFmtId="167" fontId="4" fillId="3" borderId="1" pivotButton="0" quotePrefix="0" xfId="0"/>
    <xf numFmtId="165" fontId="4" fillId="3" borderId="1" pivotButton="0" quotePrefix="0" xfId="0"/>
    <xf numFmtId="3" fontId="4" fillId="3" borderId="1" pivotButton="0" quotePrefix="0" xfId="0"/>
    <xf numFmtId="165" fontId="5" fillId="4" borderId="1" pivotButton="0" quotePrefix="0" xfId="0"/>
    <xf numFmtId="171" fontId="4" fillId="3" borderId="1" pivotButton="0" quotePrefix="0" xfId="0"/>
    <xf numFmtId="49" fontId="4" fillId="3" borderId="1"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66"/>
  <sheetViews>
    <sheetView showGridLines="0" workbookViewId="0">
      <selection activeCell="A1" sqref="A1"/>
    </sheetView>
  </sheetViews>
  <sheetFormatPr baseColWidth="8" defaultRowHeight="15"/>
  <cols>
    <col width="3" customWidth="1" min="1" max="1"/>
    <col width="8" customWidth="1" min="2" max="2"/>
    <col width="26" customWidth="1" min="3" max="3"/>
    <col width="62" customWidth="1" min="4" max="4"/>
    <col width="48" customWidth="1" min="5" max="5"/>
  </cols>
  <sheetData>
    <row r="2" ht="17.5" customHeight="1">
      <c r="B2" s="1" t="inlineStr">
        <is>
          <t>Commercial Effectiveness Model</t>
        </is>
      </c>
    </row>
    <row r="3" ht="17.5" customHeight="1">
      <c r="B3" s="2" t="inlineStr">
        <is>
          <t>© 2000–2026 Growth Enablement. All rights reserved.</t>
        </is>
      </c>
    </row>
    <row r="6" ht="17.5" customHeight="1">
      <c r="B6" s="3" t="inlineStr">
        <is>
          <t>What this model does</t>
        </is>
      </c>
    </row>
    <row r="7" ht="31" customHeight="1">
      <c r="B7" s="4" t="inlineStr">
        <is>
          <t>This model describes how your commercial system works, tests that description against your actual financial results, and then lets you explore what would happen if you changed it.</t>
        </is>
      </c>
    </row>
    <row r="8" ht="44.5" customHeight="1">
      <c r="B8" s="4" t="inlineStr">
        <is>
          <t>It is built on one discipline: lead with your assumptions. Every number you enter is a claim about your business. The model asks you to write each claim down, say where it comes from, and say what would prove it wrong. Then it checks. If anyone later disagrees with a result, you can go straight back to the assumption behind it.</t>
        </is>
      </c>
    </row>
    <row r="10" ht="17.5" customHeight="1">
      <c r="B10" s="3" t="inlineStr">
        <is>
          <t>How the model sees sales capacity</t>
        </is>
      </c>
    </row>
    <row r="11" ht="17.5" customHeight="1">
      <c r="B11" s="4" t="inlineStr">
        <is>
          <t>Two decisions create sales capacity, and they are separate:</t>
        </is>
      </c>
    </row>
    <row r="12" ht="31" customHeight="1">
      <c r="B12" s="4" t="inlineStr">
        <is>
          <t>•  Territories are a design choice. You decide how to divide your market, how many territories to fund, and what you expect each to yield. A territory without a salesperson still carries that expectation, so leaving it open has a cost.</t>
        </is>
      </c>
    </row>
    <row r="13" ht="31" customHeight="1">
      <c r="B13" s="4" t="inlineStr">
        <is>
          <t>•  Salespeople are a hiring choice. A salesperson's capacity is not the hours they work. It is how many opportunities they can hold and advance well at the same time, turned over by the length of your sales cycle.</t>
        </is>
      </c>
    </row>
    <row r="14" ht="31" customHeight="1">
      <c r="B14" s="4" t="inlineStr">
        <is>
          <t>Revenue happens where the two meet: salespeople assigned to territories, converting opportunities at your win rate and deal size, with every cost flowing through to operating income.</t>
        </is>
      </c>
    </row>
    <row r="16" ht="17.5" customHeight="1">
      <c r="B16" s="3" t="inlineStr">
        <is>
          <t>How to use it</t>
        </is>
      </c>
    </row>
    <row r="17" ht="31" customHeight="1">
      <c r="B17" s="4" t="inlineStr">
        <is>
          <t>1.  State your assumptions (1) Data Entry). Work through the steps in order. Each step names who usually owns the data, so you can forward it to them. For every value, choose its input method:</t>
        </is>
      </c>
    </row>
    <row r="18" ht="17.5" customHeight="1">
      <c r="B18" s="4" t="inlineStr">
        <is>
          <t xml:space="preserve">      –  Validated actual: confirmed by your Finance team from your records.</t>
        </is>
      </c>
    </row>
    <row r="19" ht="17.5" customHeight="1">
      <c r="B19" s="4" t="inlineStr">
        <is>
          <t xml:space="preserve">      –  Calculated: produced by the model's calculator from other entries (for example, revenue ÷ contracts).</t>
        </is>
      </c>
    </row>
    <row r="20" ht="17.5" customHeight="1">
      <c r="B20" s="4" t="inlineStr">
        <is>
          <t xml:space="preserve">      –  Reference value: borrowed from another context; say which in the source column.</t>
        </is>
      </c>
    </row>
    <row r="21" ht="31" customHeight="1">
      <c r="B21" s="4" t="inlineStr">
        <is>
          <t xml:space="preserve">      –  Judgment: your best estimate; give a reason and a low–high range. The sales leader's beliefs go here first, before any data is collected.</t>
        </is>
      </c>
    </row>
    <row r="22" ht="44.5" customHeight="1">
      <c r="B22" s="4" t="inlineStr">
        <is>
          <t>2.  Test and calibrate. The model combines your assumptions into what they imply (contracts, revenue, pipeline, compensation expense) and compares that with your actual results in the cross-checks at the end of tab 1. For each one that needs review, revise an assumption, explain the gap, or accept it as a known gap. When the list is resolved, Finance signs off the baseline.</t>
        </is>
      </c>
    </row>
    <row r="23" ht="44.5" customHeight="1">
      <c r="B23" s="4" t="inlineStr">
        <is>
          <t>3.  Explore what-if scenarios (2) What-If Scenarios). Each column is a scenario you can rename and change: territory design, filling open territories, fill speed, ramp, salesperson capacity, opportunities held, win rate, cycle, deal size, costs and the cost of the improvement itself. Every change flows through to operating income, and a true-up row confirms nothing is unexplained.</t>
        </is>
      </c>
    </row>
    <row r="24" ht="31" customHeight="1">
      <c r="B24" s="4" t="inlineStr">
        <is>
          <t>4.  Understand what stands in the way (later tabs). For each improvement, review the common obstacles and the conditions that would make it achievable.</t>
        </is>
      </c>
    </row>
    <row r="26" ht="17.5" customHeight="1">
      <c r="B26" s="3" t="inlineStr">
        <is>
          <t>How to read the results</t>
        </is>
      </c>
    </row>
    <row r="27" ht="17.5" customHeight="1">
      <c r="B27" s="4" t="inlineStr">
        <is>
          <t>•  Until Finance signs off, every result is labeled “Working model: not validated by Finance.”</t>
        </is>
      </c>
    </row>
    <row r="28" ht="17.5" customHeight="1">
      <c r="B28" s="4" t="inlineStr">
        <is>
          <t>•  Every result shows how much of it rests on validated actuals and how much on calculations, reference values and judgment.</t>
        </is>
      </c>
    </row>
    <row r="29" ht="17.5" customHeight="1">
      <c r="B29" s="4" t="inlineStr">
        <is>
          <t>•  Results are only as real as the assumptions behind them. To challenge a result, challenge an assumption on tab 1.</t>
        </is>
      </c>
    </row>
    <row r="30" ht="17.5" customHeight="1">
      <c r="B30" s="4" t="inlineStr">
        <is>
          <t>•  Assumptions are revisited each period, so they become more accurate over time.</t>
        </is>
      </c>
    </row>
    <row r="32" ht="17.5" customHeight="1">
      <c r="B32" s="3" t="inlineStr">
        <is>
          <t>What this model is not</t>
        </is>
      </c>
    </row>
    <row r="33" ht="17.5" customHeight="1">
      <c r="B33" s="4" t="inlineStr">
        <is>
          <t>•  Not a forecast. It describes what your system can and does produce under stated assumptions.</t>
        </is>
      </c>
    </row>
    <row r="34" ht="31" customHeight="1">
      <c r="B34" s="4" t="inlineStr">
        <is>
          <t>•  Not an evaluation of individual salespeople. Salespeople are measured as a system, without names, to find improvements in how the system works.</t>
        </is>
      </c>
    </row>
    <row r="35" ht="17.5" customHeight="1">
      <c r="B35" s="4" t="inlineStr">
        <is>
          <t>•  Not a benchmark ranking. Reference values from other contexts can inform assumptions, but your baseline is built from your own reality.</t>
        </is>
      </c>
    </row>
    <row r="37" ht="17.5" customHeight="1">
      <c r="B37" s="3" t="inlineStr">
        <is>
          <t>How tab 1 works</t>
        </is>
      </c>
    </row>
    <row r="38" ht="58" customHeight="1">
      <c r="B38" s="4" t="inlineStr">
        <is>
          <t>Each row on tab 1 is one entry. Its “Value used” cell (blue, outlined) is the only cell the rest of the model reads, by name. The yellow cells to its right are the ways to fill it; “Input method” chooses which one is used. Grey cells are calculated from other entries. Changing how an entry is filled never changes the model's logic. “Why it matters” keeps the original explanation of each entry. Columns for ID, range, source, owner, where to find it, what would prove it wrong and leverage point are grouped: use the + button above the columns to show them.</t>
        </is>
      </c>
    </row>
    <row r="39">
      <c r="B39" s="5" t="n"/>
      <c r="C39" s="6" t="inlineStr">
        <is>
          <t>Yellow</t>
        </is>
      </c>
      <c r="D39" s="7" t="inlineStr">
        <is>
          <t>Enter or choose a value</t>
        </is>
      </c>
    </row>
    <row r="40">
      <c r="B40" s="8" t="n"/>
      <c r="C40" s="6" t="inlineStr">
        <is>
          <t>Grey</t>
        </is>
      </c>
      <c r="D40" s="7" t="inlineStr">
        <is>
          <t>Calculated from other entries</t>
        </is>
      </c>
    </row>
    <row r="41">
      <c r="B41" s="9" t="n"/>
      <c r="C41" s="6" t="inlineStr">
        <is>
          <t>Blue, outlined</t>
        </is>
      </c>
      <c r="D41" s="7" t="inlineStr">
        <is>
          <t>Value used: the cell other tabs reference</t>
        </is>
      </c>
    </row>
    <row r="43" ht="17.5" customHeight="1">
      <c r="B43" s="3" t="inlineStr">
        <is>
          <t>Collection sequence: who to ask, in what order</t>
        </is>
      </c>
    </row>
    <row r="44" ht="17.5" customHeight="1">
      <c r="B44" s="2" t="inlineStr">
        <is>
          <t>Steps 3 to 8 can go to their owners at the same time once steps 1 and 2 are done. Steps 9 and 10 need the territory plan.</t>
        </is>
      </c>
    </row>
    <row r="45">
      <c r="B45" s="10" t="inlineStr">
        <is>
          <t>Step</t>
        </is>
      </c>
      <c r="C45" s="10" t="inlineStr">
        <is>
          <t>Owner</t>
        </is>
      </c>
      <c r="D45" s="10" t="inlineStr">
        <is>
          <t>What we ask for</t>
        </is>
      </c>
      <c r="E45" s="10" t="inlineStr">
        <is>
          <t>What it unlocks</t>
        </is>
      </c>
    </row>
    <row r="46" ht="31" customHeight="1">
      <c r="B46" s="11" t="n">
        <v>1</v>
      </c>
      <c r="C46" s="12" t="inlineStr">
        <is>
          <t>Sponsor</t>
        </is>
      </c>
      <c r="D46" s="12" t="inlineStr">
        <is>
          <t>Four answers: period, business in scope, currency, revenue basis</t>
        </is>
      </c>
      <c r="E46" s="12" t="inlineStr">
        <is>
          <t>Every request pre-filled with the same scope</t>
        </is>
      </c>
    </row>
    <row r="47" ht="44.5" customHeight="1">
      <c r="B47" s="11" t="n">
        <v>2</v>
      </c>
      <c r="C47" s="12" t="inlineStr">
        <is>
          <t>Sales leader</t>
        </is>
      </c>
      <c r="D47" s="12" t="inlineStr">
        <is>
          <t>Short questionnaire, no data: how the market is divided, expected yield, win rate, cycle, deal size, opportunities a salesperson can handle, ramp, time to fill</t>
        </is>
      </c>
      <c r="E47" s="12" t="inlineStr">
        <is>
          <t>Sealed beliefs; a working model on day one</t>
        </is>
      </c>
    </row>
    <row r="48" ht="17.5" customHeight="1">
      <c r="B48" s="11" t="n">
        <v>3</v>
      </c>
      <c r="C48" s="12" t="inlineStr">
        <is>
          <t>Finance</t>
        </is>
      </c>
      <c r="D48" s="12" t="inlineStr">
        <is>
          <t>Income statement for the period, and the plan</t>
        </is>
      </c>
      <c r="E48" s="12" t="inlineStr">
        <is>
          <t>Validated revenue, contracts and P&amp;L; the first test of the beliefs</t>
        </is>
      </c>
    </row>
    <row r="49" ht="17.5" customHeight="1">
      <c r="B49" s="11" t="n">
        <v>4</v>
      </c>
      <c r="C49" s="12" t="inlineStr">
        <is>
          <t>Finance</t>
        </is>
      </c>
      <c r="D49" s="12" t="inlineStr">
        <is>
          <t>General ledger detail for sales and marketing cost centers</t>
        </is>
      </c>
      <c r="E49" s="12" t="inlineStr">
        <is>
          <t>Cost per salesperson, commission, overhead, marketing; compensation check</t>
        </is>
      </c>
    </row>
    <row r="50" ht="31" customHeight="1">
      <c r="B50" s="11" t="n">
        <v>5</v>
      </c>
      <c r="C50" s="12" t="inlineStr">
        <is>
          <t>HR</t>
        </is>
      </c>
      <c r="D50" s="12" t="inlineStr">
        <is>
          <t>Roster export of quota-carrying salespeople: start and end dates, role, salary band (no names)</t>
        </is>
      </c>
      <c r="E50" s="12" t="inlineStr">
        <is>
          <t>Filled seats, hires, departures, ramp state</t>
        </is>
      </c>
    </row>
    <row r="51" ht="31" customHeight="1">
      <c r="B51" s="11" t="n">
        <v>6</v>
      </c>
      <c r="C51" s="12" t="inlineStr">
        <is>
          <t>Sales Operations</t>
        </is>
      </c>
      <c r="D51" s="12" t="inlineStr">
        <is>
          <t>Territory list: assigned salesperson or open, expected yield, segment</t>
        </is>
      </c>
      <c r="E51" s="12" t="inlineStr">
        <is>
          <t>Open territories and expected yield vs plan</t>
        </is>
      </c>
    </row>
    <row r="52" ht="31" customHeight="1">
      <c r="B52" s="11" t="n">
        <v>7</v>
      </c>
      <c r="C52" s="12" t="inlineStr">
        <is>
          <t>Sales Operations</t>
        </is>
      </c>
      <c r="D52" s="12" t="inlineStr">
        <is>
          <t>CRM: closed opportunities in the period; month-end open opportunities</t>
        </is>
      </c>
      <c r="E52" s="12" t="inlineStr">
        <is>
          <t>Close rate, cycle, deal size, opportunities held; the belief gap</t>
        </is>
      </c>
    </row>
    <row r="53" ht="17.5" customHeight="1">
      <c r="B53" s="11" t="n">
        <v>8</v>
      </c>
      <c r="C53" s="12" t="inlineStr">
        <is>
          <t>Compensation</t>
        </is>
      </c>
      <c r="D53" s="12" t="inlineStr">
        <is>
          <t>Current compensation plan</t>
        </is>
      </c>
      <c r="E53" s="12" t="inlineStr">
        <is>
          <t>Commission rules checked against commissions paid</t>
        </is>
      </c>
    </row>
    <row r="54" ht="31" customHeight="1">
      <c r="B54" s="11" t="n">
        <v>9</v>
      </c>
      <c r="C54" s="12" t="inlineStr">
        <is>
          <t>HR and Finance</t>
        </is>
      </c>
      <c r="D54" s="12" t="inlineStr">
        <is>
          <t>For each open territory: opened, requisition approved, offer accepted, start</t>
        </is>
      </c>
      <c r="E54" s="12" t="inlineStr">
        <is>
          <t>Cost of open territories and approval time</t>
        </is>
      </c>
    </row>
    <row r="55" ht="31" customHeight="1">
      <c r="B55" s="11" t="n">
        <v>10</v>
      </c>
      <c r="C55" s="12" t="inlineStr">
        <is>
          <t>Sales Ops and Finance</t>
        </is>
      </c>
      <c r="D55" s="12" t="inlineStr">
        <is>
          <t>Qualification rule, hiring approval steps, who can change territory design</t>
        </is>
      </c>
      <c r="E55" s="12" t="inlineStr">
        <is>
          <t>Rules declared, so scenarios can change them</t>
        </is>
      </c>
    </row>
    <row r="56" ht="17.5" customHeight="1">
      <c r="B56" s="11" t="n">
        <v>11</v>
      </c>
      <c r="C56" s="12" t="inlineStr">
        <is>
          <t>Finance lead</t>
        </is>
      </c>
      <c r="D56" s="12" t="inlineStr">
        <is>
          <t>Review the cross-checks and sign off</t>
        </is>
      </c>
      <c r="E56" s="12" t="inlineStr">
        <is>
          <t>The signed baseline</t>
        </is>
      </c>
    </row>
    <row r="58" ht="17.5" customHeight="1">
      <c r="B58" s="3" t="inlineStr">
        <is>
          <t>Workbook map</t>
        </is>
      </c>
    </row>
    <row r="59" ht="17.5" customHeight="1">
      <c r="B59" s="4" t="inlineStr">
        <is>
          <t>•  Orientation: this page.</t>
        </is>
      </c>
    </row>
    <row r="60" ht="17.5" customHeight="1">
      <c r="B60" s="4" t="inlineStr">
        <is>
          <t>•  1) Data Entry: the assumption ledger, in collection order, with cross-checks and sign-off.</t>
        </is>
      </c>
    </row>
    <row r="61" ht="31" customHeight="1">
      <c r="B61" s="4" t="inlineStr">
        <is>
          <t>•  2) What-If Scenarios: baseline plus nine editable scenarios, from territory design and staffing through salesperson throughput to operating income, with a true-up and a break-even budget for each.</t>
        </is>
      </c>
    </row>
    <row r="62" ht="17.5" customHeight="1">
      <c r="B62" s="4" t="inlineStr">
        <is>
          <t>•  Later tabs (to be rebuilt): detailed income statement and scenario diagnostics. Every tab reads only the Value used cells on tab 1.</t>
        </is>
      </c>
    </row>
    <row r="64" ht="17.5" customHeight="1">
      <c r="B64" s="3" t="inlineStr">
        <is>
          <t>A few points</t>
        </is>
      </c>
    </row>
    <row r="65" ht="31" customHeight="1">
      <c r="B65" s="4" t="inlineStr">
        <is>
          <t>This is a general model. For a sharper analysis, run it separately for each sales channel and product line, and separate new-customer revenue from revenue from existing customers. The model can be tailored to your business.</t>
        </is>
      </c>
    </row>
    <row r="66" ht="44.5" customHeight="1">
      <c r="B66" s="4" t="inlineStr">
        <is>
          <t>“Increase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sheetData>
  <mergeCells count="40">
    <mergeCell ref="B65:E65"/>
    <mergeCell ref="B37:E37"/>
    <mergeCell ref="B6:E6"/>
    <mergeCell ref="B30:E30"/>
    <mergeCell ref="B64:E64"/>
    <mergeCell ref="B33:E33"/>
    <mergeCell ref="B24:E24"/>
    <mergeCell ref="B20:E20"/>
    <mergeCell ref="B32:E32"/>
    <mergeCell ref="B26:E26"/>
    <mergeCell ref="B35:E35"/>
    <mergeCell ref="B16:E16"/>
    <mergeCell ref="B62:E62"/>
    <mergeCell ref="B7:E7"/>
    <mergeCell ref="B3:E3"/>
    <mergeCell ref="B59:E59"/>
    <mergeCell ref="B22:E22"/>
    <mergeCell ref="B66:E66"/>
    <mergeCell ref="B18:E18"/>
    <mergeCell ref="B27:E27"/>
    <mergeCell ref="B43:E43"/>
    <mergeCell ref="B12:E12"/>
    <mergeCell ref="B58:E58"/>
    <mergeCell ref="B21:E21"/>
    <mergeCell ref="B11:E11"/>
    <mergeCell ref="B2:E2"/>
    <mergeCell ref="B14:E14"/>
    <mergeCell ref="B60:E60"/>
    <mergeCell ref="B17:E17"/>
    <mergeCell ref="B23:E23"/>
    <mergeCell ref="B61:E61"/>
    <mergeCell ref="B8:E8"/>
    <mergeCell ref="B13:E13"/>
    <mergeCell ref="B38:E38"/>
    <mergeCell ref="B44:E44"/>
    <mergeCell ref="B29:E29"/>
    <mergeCell ref="B19:E19"/>
    <mergeCell ref="B34:E34"/>
    <mergeCell ref="B10:E10"/>
    <mergeCell ref="B28:E28"/>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0"/>
    <pageSetUpPr fitToPage="1"/>
  </sheetPr>
  <dimension ref="A1:T97"/>
  <sheetViews>
    <sheetView showGridLines="0" workbookViewId="0">
      <pane xSplit="8" ySplit="9" topLeftCell="I10" activePane="bottomRight" state="frozen"/>
      <selection pane="topRight"/>
      <selection pane="bottomLeft"/>
      <selection pane="bottomRight" activeCell="A1" sqref="A1"/>
    </sheetView>
  </sheetViews>
  <sheetFormatPr baseColWidth="8" defaultRowHeight="15"/>
  <cols>
    <col width="6" customWidth="1" min="1" max="1"/>
    <col hidden="1" outlineLevel="1" width="22" customWidth="1" min="2" max="2"/>
    <col width="34" customWidth="1" min="3" max="3"/>
    <col width="40" customWidth="1" min="4" max="4"/>
    <col width="60" customWidth="1" min="5" max="5"/>
    <col width="9" customWidth="1" min="6" max="6"/>
    <col width="17" customWidth="1" min="7" max="7"/>
    <col width="15" customWidth="1" min="8" max="8"/>
    <col width="15" customWidth="1" min="9" max="9"/>
    <col width="15" customWidth="1" min="10" max="10"/>
    <col width="15" customWidth="1" min="11" max="11"/>
    <col width="16" customWidth="1" min="12" max="12"/>
    <col width="22" customWidth="1" min="13" max="13"/>
    <col hidden="1" outlineLevel="1" width="12" customWidth="1" min="14" max="14"/>
    <col hidden="1" outlineLevel="1" width="12" customWidth="1" min="15" max="15"/>
    <col hidden="1" outlineLevel="1" width="34" customWidth="1" min="16" max="16"/>
    <col hidden="1" outlineLevel="1" width="18" customWidth="1" min="17" max="17"/>
    <col hidden="1" outlineLevel="1" width="28" customWidth="1" min="18" max="18"/>
    <col hidden="1" outlineLevel="1" width="36" customWidth="1" min="19" max="19"/>
    <col hidden="1" outlineLevel="1" width="9" customWidth="1" min="20" max="20"/>
  </cols>
  <sheetData>
    <row r="1">
      <c r="A1" s="13" t="inlineStr">
        <is>
          <t>1) Data Entry: the assumption ledger</t>
        </is>
      </c>
    </row>
    <row r="2">
      <c r="A2" s="14" t="inlineStr">
        <is>
          <t>Each row is one entry. The rest of the model reads only the Value used column. Fill an entry any of the ways offered and choose the one to use in Input method. Work through the steps in order; each names its owner.</t>
        </is>
      </c>
    </row>
    <row r="4">
      <c r="A4" t="inlineStr"/>
      <c r="C4" s="6" t="inlineStr">
        <is>
          <t>Baseline status</t>
        </is>
      </c>
      <c r="D4" s="15" t="inlineStr">
        <is>
          <t>Working model</t>
        </is>
      </c>
      <c r="F4" s="16">
        <f>IF(D4="Signed by Finance","Signed baseline: validated by Finance","Working model: not validated by Finance")</f>
        <v/>
      </c>
    </row>
    <row r="5">
      <c r="C5" s="6" t="inlineStr">
        <is>
          <t>Values in use, by input method</t>
        </is>
      </c>
      <c r="D5" s="17">
        <f>SUMPRODUCT((G17:G86="Validated actual")*(LEN(H17:H86)&gt;0))</f>
        <v/>
      </c>
      <c r="E5" s="17">
        <f>SUMPRODUCT((G17:G86="Calculated")*(LEN(H17:H86)&gt;0))</f>
        <v/>
      </c>
      <c r="F5" s="17">
        <f>SUMPRODUCT((G17:G86="Reference value")*(LEN(H17:H86)&gt;0))</f>
        <v/>
      </c>
      <c r="G5" s="17">
        <f>SUMPRODUCT((G17:G86="Judgment")*(LEN(H17:H86)&gt;0))</f>
        <v/>
      </c>
      <c r="H5" s="17">
        <f>SUMPRODUCT((LEN(G17:G86)&gt;0)*(LEN(H17:H86)=0)*(LEFT(G17:G86,6)&lt;&gt;"Direct"))</f>
        <v/>
      </c>
    </row>
    <row r="6">
      <c r="C6" s="6" t="inlineStr">
        <is>
          <t>Cross-checks</t>
        </is>
      </c>
      <c r="D6" s="17">
        <f>COUNTIF(G90:G97,"PASS")&amp;" pass"</f>
        <v/>
      </c>
      <c r="E6" s="17">
        <f>COUNTIF(G90:G97,"REVIEW")&amp;" review"</f>
        <v/>
      </c>
      <c r="F6" s="17">
        <f>COUNTIF(G90:G97,"NEEDS DATA")&amp;" needs data"</f>
        <v/>
      </c>
    </row>
    <row r="7" ht="14" customHeight="1">
      <c r="D7" s="18" t="inlineStr">
        <is>
          <t>Validated actual</t>
        </is>
      </c>
      <c r="E7" s="18" t="inlineStr">
        <is>
          <t>Calculated</t>
        </is>
      </c>
      <c r="F7" s="18" t="inlineStr">
        <is>
          <t>Reference value</t>
        </is>
      </c>
      <c r="G7" s="18" t="inlineStr">
        <is>
          <t>Judgment</t>
        </is>
      </c>
      <c r="H7" s="18" t="inlineStr">
        <is>
          <t>Waiting for data</t>
        </is>
      </c>
    </row>
    <row r="9" ht="30" customHeight="1">
      <c r="A9" s="19" t="inlineStr">
        <is>
          <t>Step</t>
        </is>
      </c>
      <c r="B9" s="19" t="inlineStr">
        <is>
          <t>ID</t>
        </is>
      </c>
      <c r="C9" s="19" t="inlineStr">
        <is>
          <t>Entry</t>
        </is>
      </c>
      <c r="D9" s="19" t="inlineStr">
        <is>
          <t>What it means</t>
        </is>
      </c>
      <c r="E9" s="19" t="inlineStr">
        <is>
          <t>Why it matters (original)</t>
        </is>
      </c>
      <c r="F9" s="19" t="inlineStr">
        <is>
          <t>Unit</t>
        </is>
      </c>
      <c r="G9" s="19" t="inlineStr">
        <is>
          <t>Input method</t>
        </is>
      </c>
      <c r="H9" s="19" t="inlineStr">
        <is>
          <t>Value used</t>
        </is>
      </c>
      <c r="I9" s="19" t="inlineStr">
        <is>
          <t>Validated actual</t>
        </is>
      </c>
      <c r="J9" s="19" t="inlineStr">
        <is>
          <t>Calculated</t>
        </is>
      </c>
      <c r="K9" s="19" t="inlineStr">
        <is>
          <t>Reference value</t>
        </is>
      </c>
      <c r="L9" s="19" t="inlineStr">
        <is>
          <t>Leadership belief (judgment)</t>
        </is>
      </c>
      <c r="M9" s="19" t="inlineStr">
        <is>
          <t>Belief vs value used</t>
        </is>
      </c>
      <c r="N9" s="19" t="inlineStr">
        <is>
          <t>Low</t>
        </is>
      </c>
      <c r="O9" s="19" t="inlineStr">
        <is>
          <t>High</t>
        </is>
      </c>
      <c r="P9" s="19" t="inlineStr">
        <is>
          <t>Source or reference context</t>
        </is>
      </c>
      <c r="Q9" s="19" t="inlineStr">
        <is>
          <t>Owner</t>
        </is>
      </c>
      <c r="R9" s="19" t="inlineStr">
        <is>
          <t>Where to find it</t>
        </is>
      </c>
      <c r="S9" s="19" t="inlineStr">
        <is>
          <t>What would prove it wrong</t>
        </is>
      </c>
      <c r="T9" s="19" t="inlineStr">
        <is>
          <t>Leverage point</t>
        </is>
      </c>
    </row>
    <row r="10">
      <c r="A10" s="20" t="inlineStr">
        <is>
          <t>Step 1. Scope  ·  Owner: Sponsor</t>
        </is>
      </c>
      <c r="B10" s="21" t="n"/>
      <c r="C10" s="21" t="n"/>
      <c r="D10" s="21" t="n"/>
      <c r="E10" s="21" t="n"/>
      <c r="F10" s="21" t="n"/>
      <c r="G10" s="21" t="n"/>
      <c r="H10" s="21" t="n"/>
      <c r="I10" s="21" t="n"/>
      <c r="J10" s="21" t="n"/>
      <c r="K10" s="21" t="n"/>
      <c r="L10" s="21" t="n"/>
      <c r="M10" s="21" t="n"/>
      <c r="N10" s="21" t="n"/>
      <c r="O10" s="21" t="n"/>
      <c r="P10" s="21" t="n"/>
      <c r="Q10" s="21" t="n"/>
      <c r="R10" s="21" t="n"/>
      <c r="S10" s="21" t="n"/>
      <c r="T10" s="21" t="n"/>
    </row>
    <row r="11" ht="31" customHeight="1">
      <c r="A11" s="11" t="n">
        <v>1</v>
      </c>
      <c r="B11" s="12" t="inlineStr">
        <is>
          <t>scope_business</t>
        </is>
      </c>
      <c r="C11" s="22" t="inlineStr">
        <is>
          <t>Business in scope</t>
        </is>
      </c>
      <c r="D11" s="12" t="inlineStr">
        <is>
          <t>Whole company, or one channel, product line or sales motion</t>
        </is>
      </c>
      <c r="E11" s="12" t="inlineStr"/>
      <c r="F11" s="12" t="inlineStr">
        <is>
          <t>text</t>
        </is>
      </c>
      <c r="G11" s="23" t="inlineStr">
        <is>
          <t>Direct entry</t>
        </is>
      </c>
      <c r="H11" s="24" t="inlineStr">
        <is>
          <t>Whole company</t>
        </is>
      </c>
      <c r="I11" s="12" t="n"/>
      <c r="J11" s="12" t="n"/>
      <c r="K11" s="12" t="n"/>
      <c r="L11" s="12" t="n"/>
      <c r="M11" s="12" t="n"/>
      <c r="N11" s="12" t="n"/>
      <c r="O11" s="12" t="n"/>
      <c r="P11" s="12" t="inlineStr"/>
      <c r="Q11" s="12" t="inlineStr">
        <is>
          <t>Sponsor</t>
        </is>
      </c>
      <c r="R11" s="12" t="inlineStr">
        <is>
          <t>Sponsor decision</t>
        </is>
      </c>
      <c r="S11" s="12" t="inlineStr"/>
      <c r="T11" s="11" t="n"/>
    </row>
    <row r="12" ht="31" customHeight="1">
      <c r="A12" s="11" t="n">
        <v>1</v>
      </c>
      <c r="B12" s="12" t="inlineStr">
        <is>
          <t>period_start</t>
        </is>
      </c>
      <c r="C12" s="22" t="inlineStr">
        <is>
          <t>Period start</t>
        </is>
      </c>
      <c r="D12" s="12" t="inlineStr">
        <is>
          <t>First day of the 12-month period every value describes</t>
        </is>
      </c>
      <c r="E12" s="12" t="inlineStr"/>
      <c r="F12" s="12" t="inlineStr">
        <is>
          <t>date</t>
        </is>
      </c>
      <c r="G12" s="23" t="inlineStr">
        <is>
          <t>Direct entry</t>
        </is>
      </c>
      <c r="H12" s="25" t="n"/>
      <c r="I12" s="12" t="n"/>
      <c r="J12" s="12" t="n"/>
      <c r="K12" s="12" t="n"/>
      <c r="L12" s="12" t="n"/>
      <c r="M12" s="12" t="n"/>
      <c r="N12" s="12" t="n"/>
      <c r="O12" s="12" t="n"/>
      <c r="P12" s="12" t="inlineStr"/>
      <c r="Q12" s="12" t="inlineStr">
        <is>
          <t>Sponsor</t>
        </is>
      </c>
      <c r="R12" s="12" t="inlineStr">
        <is>
          <t>Sponsor decision</t>
        </is>
      </c>
      <c r="S12" s="12" t="inlineStr"/>
      <c r="T12" s="11" t="n"/>
    </row>
    <row r="13" ht="17.5" customHeight="1">
      <c r="A13" s="11" t="n">
        <v>1</v>
      </c>
      <c r="B13" s="12" t="inlineStr">
        <is>
          <t>period_end</t>
        </is>
      </c>
      <c r="C13" s="22" t="inlineStr">
        <is>
          <t>Period end</t>
        </is>
      </c>
      <c r="D13" s="12" t="inlineStr">
        <is>
          <t>Last day of the period</t>
        </is>
      </c>
      <c r="E13" s="12" t="inlineStr"/>
      <c r="F13" s="12" t="inlineStr">
        <is>
          <t>date</t>
        </is>
      </c>
      <c r="G13" s="23" t="inlineStr">
        <is>
          <t>Direct entry</t>
        </is>
      </c>
      <c r="H13" s="25" t="n"/>
      <c r="I13" s="12" t="n"/>
      <c r="J13" s="12" t="n"/>
      <c r="K13" s="12" t="n"/>
      <c r="L13" s="12" t="n"/>
      <c r="M13" s="12" t="n"/>
      <c r="N13" s="12" t="n"/>
      <c r="O13" s="12" t="n"/>
      <c r="P13" s="12" t="inlineStr"/>
      <c r="Q13" s="12" t="inlineStr">
        <is>
          <t>Sponsor</t>
        </is>
      </c>
      <c r="R13" s="12" t="inlineStr">
        <is>
          <t>Sponsor decision</t>
        </is>
      </c>
      <c r="S13" s="12" t="inlineStr"/>
      <c r="T13" s="11" t="n"/>
    </row>
    <row r="14" ht="31" customHeight="1">
      <c r="A14" s="11" t="n">
        <v>1</v>
      </c>
      <c r="B14" s="12" t="inlineStr">
        <is>
          <t>currency</t>
        </is>
      </c>
      <c r="C14" s="22" t="inlineStr">
        <is>
          <t>Currency</t>
        </is>
      </c>
      <c r="D14" s="12" t="inlineStr">
        <is>
          <t>Reporting currency for every money value</t>
        </is>
      </c>
      <c r="E14" s="12" t="inlineStr"/>
      <c r="F14" s="12" t="inlineStr">
        <is>
          <t>text</t>
        </is>
      </c>
      <c r="G14" s="23" t="inlineStr">
        <is>
          <t>Direct entry</t>
        </is>
      </c>
      <c r="H14" s="24" t="inlineStr">
        <is>
          <t>USD</t>
        </is>
      </c>
      <c r="I14" s="12" t="n"/>
      <c r="J14" s="12" t="n"/>
      <c r="K14" s="12" t="n"/>
      <c r="L14" s="12" t="n"/>
      <c r="M14" s="12" t="n"/>
      <c r="N14" s="12" t="n"/>
      <c r="O14" s="12" t="n"/>
      <c r="P14" s="12" t="inlineStr"/>
      <c r="Q14" s="12" t="inlineStr">
        <is>
          <t>Sponsor</t>
        </is>
      </c>
      <c r="R14" s="12" t="inlineStr">
        <is>
          <t>Sponsor decision</t>
        </is>
      </c>
      <c r="S14" s="12" t="inlineStr"/>
      <c r="T14" s="11" t="n"/>
    </row>
    <row r="15" ht="31" customHeight="1">
      <c r="A15" s="11" t="n">
        <v>1</v>
      </c>
      <c r="B15" s="12" t="inlineStr">
        <is>
          <t>revenue_basis</t>
        </is>
      </c>
      <c r="C15" s="22" t="inlineStr">
        <is>
          <t>Revenue basis</t>
        </is>
      </c>
      <c r="D15" s="12" t="inlineStr">
        <is>
          <t>Recognized revenue or bookings; every revenue value follows it</t>
        </is>
      </c>
      <c r="E15" s="12" t="inlineStr"/>
      <c r="F15" s="12" t="inlineStr">
        <is>
          <t>text</t>
        </is>
      </c>
      <c r="G15" s="23" t="inlineStr">
        <is>
          <t>Direct entry</t>
        </is>
      </c>
      <c r="H15" s="24" t="inlineStr">
        <is>
          <t>Recognized revenue</t>
        </is>
      </c>
      <c r="I15" s="12" t="n"/>
      <c r="J15" s="12" t="n"/>
      <c r="K15" s="12" t="n"/>
      <c r="L15" s="12" t="n"/>
      <c r="M15" s="12" t="n"/>
      <c r="N15" s="12" t="n"/>
      <c r="O15" s="12" t="n"/>
      <c r="P15" s="12" t="inlineStr"/>
      <c r="Q15" s="12" t="inlineStr">
        <is>
          <t>Sponsor</t>
        </is>
      </c>
      <c r="R15" s="12" t="inlineStr">
        <is>
          <t>Sponsor decision</t>
        </is>
      </c>
      <c r="S15" s="12" t="inlineStr"/>
      <c r="T15" s="11" t="n"/>
    </row>
    <row r="16">
      <c r="A16" s="20" t="inlineStr">
        <is>
          <t>Step 2. Leadership beliefs  ·  Owner: Sales leader  ·  Fill the Leadership belief column for every number below before any data arrives</t>
        </is>
      </c>
      <c r="B16" s="21" t="n"/>
      <c r="C16" s="21" t="n"/>
      <c r="D16" s="21" t="n"/>
      <c r="E16" s="21" t="n"/>
      <c r="F16" s="21" t="n"/>
      <c r="G16" s="21" t="n"/>
      <c r="H16" s="21" t="n"/>
      <c r="I16" s="21" t="n"/>
      <c r="J16" s="21" t="n"/>
      <c r="K16" s="21" t="n"/>
      <c r="L16" s="21" t="n"/>
      <c r="M16" s="21" t="n"/>
      <c r="N16" s="21" t="n"/>
      <c r="O16" s="21" t="n"/>
      <c r="P16" s="21" t="n"/>
      <c r="Q16" s="21" t="n"/>
      <c r="R16" s="21" t="n"/>
      <c r="S16" s="21" t="n"/>
      <c r="T16" s="21" t="n"/>
    </row>
    <row r="17" ht="31" customHeight="1">
      <c r="A17" s="11" t="n">
        <v>2</v>
      </c>
      <c r="B17" s="12" t="inlineStr">
        <is>
          <t>segmentation_basis</t>
        </is>
      </c>
      <c r="C17" s="22" t="inlineStr">
        <is>
          <t>How the market is divided into territories</t>
        </is>
      </c>
      <c r="D17" s="12" t="inlineStr">
        <is>
          <t>Geography, industry, company size, named accounts, buyer problem, or a mix</t>
        </is>
      </c>
      <c r="E17" s="12" t="inlineStr"/>
      <c r="F17" s="12" t="inlineStr">
        <is>
          <t>text</t>
        </is>
      </c>
      <c r="G17" s="26" t="inlineStr">
        <is>
          <t>Judgment</t>
        </is>
      </c>
      <c r="H17" s="27">
        <f>IF(G17="Validated actual",IF(I17="","",I17),IF(G17="Calculated",IF(J17="","",J17),IF(G17="Reference value",IF(K17="","",K17),IF(G17="Judgment",IF(L17="","",L17),""))))</f>
        <v/>
      </c>
      <c r="I17" s="28" t="n"/>
      <c r="J17" s="29" t="n"/>
      <c r="K17" s="28" t="n"/>
      <c r="L17" s="28" t="n"/>
      <c r="M17" s="12" t="n"/>
      <c r="N17" s="28" t="n"/>
      <c r="O17" s="28" t="n"/>
      <c r="P17" s="26" t="inlineStr"/>
      <c r="Q17" s="12" t="inlineStr">
        <is>
          <t>Sales leader</t>
        </is>
      </c>
      <c r="R17" s="12" t="inlineStr">
        <is>
          <t>Sales leader</t>
        </is>
      </c>
      <c r="S17" s="12" t="inlineStr">
        <is>
          <t>Territory results differ more within a segment than between segments</t>
        </is>
      </c>
      <c r="T17" s="11" t="n">
        <v>2</v>
      </c>
    </row>
    <row r="18" ht="31" customHeight="1">
      <c r="A18" s="11" t="n">
        <v>2</v>
      </c>
      <c r="B18" s="12" t="inlineStr">
        <is>
          <t>theory_of_buying</t>
        </is>
      </c>
      <c r="C18" s="22" t="inlineStr">
        <is>
          <t>How our customers buy</t>
        </is>
      </c>
      <c r="D18" s="12" t="inlineStr">
        <is>
          <t>The stated theory of who decides, how, and why</t>
        </is>
      </c>
      <c r="E18" s="12" t="inlineStr"/>
      <c r="F18" s="12" t="inlineStr">
        <is>
          <t>text</t>
        </is>
      </c>
      <c r="G18" s="26" t="inlineStr">
        <is>
          <t>Judgment</t>
        </is>
      </c>
      <c r="H18" s="27">
        <f>IF(G18="Validated actual",IF(I18="","",I18),IF(G18="Calculated",IF(J18="","",J18),IF(G18="Reference value",IF(K18="","",K18),IF(G18="Judgment",IF(L18="","",L18),""))))</f>
        <v/>
      </c>
      <c r="I18" s="28" t="n"/>
      <c r="J18" s="29" t="n"/>
      <c r="K18" s="28" t="n"/>
      <c r="L18" s="28" t="n"/>
      <c r="M18" s="12" t="n"/>
      <c r="N18" s="28" t="n"/>
      <c r="O18" s="28" t="n"/>
      <c r="P18" s="26" t="inlineStr"/>
      <c r="Q18" s="12" t="inlineStr">
        <is>
          <t>Sales leader</t>
        </is>
      </c>
      <c r="R18" s="12" t="inlineStr">
        <is>
          <t>Sales leader</t>
        </is>
      </c>
      <c r="S18" s="12" t="inlineStr">
        <is>
          <t>Won and lost deals do not follow the stated pattern</t>
        </is>
      </c>
      <c r="T18" s="11" t="n">
        <v>2</v>
      </c>
    </row>
    <row r="19" ht="31" customHeight="1">
      <c r="A19" s="11" t="n">
        <v>2</v>
      </c>
      <c r="B19" s="12" t="inlineStr">
        <is>
          <t>system_goal</t>
        </is>
      </c>
      <c r="C19" s="22" t="inlineStr">
        <is>
          <t>What the sales system is run to maximize</t>
        </is>
      </c>
      <c r="D19" s="12" t="inlineStr">
        <is>
          <t>Bookings, margin, new logos, retention, or another goal</t>
        </is>
      </c>
      <c r="E19" s="12" t="inlineStr"/>
      <c r="F19" s="12" t="inlineStr">
        <is>
          <t>text</t>
        </is>
      </c>
      <c r="G19" s="26" t="inlineStr">
        <is>
          <t>Judgment</t>
        </is>
      </c>
      <c r="H19" s="27">
        <f>IF(G19="Validated actual",IF(I19="","",I19),IF(G19="Calculated",IF(J19="","",J19),IF(G19="Reference value",IF(K19="","",K19),IF(G19="Judgment",IF(L19="","",L19),""))))</f>
        <v/>
      </c>
      <c r="I19" s="28" t="n"/>
      <c r="J19" s="29" t="n"/>
      <c r="K19" s="28" t="n"/>
      <c r="L19" s="28" t="n"/>
      <c r="M19" s="12" t="n"/>
      <c r="N19" s="28" t="n"/>
      <c r="O19" s="28" t="n"/>
      <c r="P19" s="26" t="inlineStr"/>
      <c r="Q19" s="12" t="inlineStr">
        <is>
          <t>Sales leader</t>
        </is>
      </c>
      <c r="R19" s="12" t="inlineStr">
        <is>
          <t>Sponsor and sales leader</t>
        </is>
      </c>
      <c r="S19" s="12" t="inlineStr">
        <is>
          <t>Compensation and reviews reward something else</t>
        </is>
      </c>
      <c r="T19" s="11" t="n">
        <v>3</v>
      </c>
    </row>
    <row r="20">
      <c r="A20" s="20" t="inlineStr">
        <is>
          <t>Step 3. Financial results  ·  Owner: Finance</t>
        </is>
      </c>
      <c r="B20" s="21" t="n"/>
      <c r="C20" s="21" t="n"/>
      <c r="D20" s="21" t="n"/>
      <c r="E20" s="21" t="n"/>
      <c r="F20" s="21" t="n"/>
      <c r="G20" s="21" t="n"/>
      <c r="H20" s="21" t="n"/>
      <c r="I20" s="21" t="n"/>
      <c r="J20" s="21" t="n"/>
      <c r="K20" s="21" t="n"/>
      <c r="L20" s="21" t="n"/>
      <c r="M20" s="21" t="n"/>
      <c r="N20" s="21" t="n"/>
      <c r="O20" s="21" t="n"/>
      <c r="P20" s="21" t="n"/>
      <c r="Q20" s="21" t="n"/>
      <c r="R20" s="21" t="n"/>
      <c r="S20" s="21" t="n"/>
      <c r="T20" s="21" t="n"/>
    </row>
    <row r="21" ht="31" customHeight="1">
      <c r="A21" s="11" t="n">
        <v>3</v>
      </c>
      <c r="B21" s="12" t="inlineStr">
        <is>
          <t>revenue</t>
        </is>
      </c>
      <c r="C21" s="22" t="inlineStr">
        <is>
          <t>Revenue in scope</t>
        </is>
      </c>
      <c r="D21" s="12" t="inlineStr">
        <is>
          <t>Revenue for the period and scope, on the chosen basis</t>
        </is>
      </c>
      <c r="E21" s="12" t="inlineStr"/>
      <c r="F21" s="12" t="inlineStr">
        <is>
          <t>currency</t>
        </is>
      </c>
      <c r="G21" s="26" t="inlineStr">
        <is>
          <t>Validated actual</t>
        </is>
      </c>
      <c r="H21" s="30">
        <f>IF(G21="Validated actual",IF(I21="","",I21),IF(G21="Calculated",IF(J21="","",J21),IF(G21="Reference value",IF(K21="","",K21),IF(G21="Judgment",IF(L21="","",L21),""))))</f>
        <v/>
      </c>
      <c r="I21" s="31" t="n">
        <v>25000000</v>
      </c>
      <c r="J21" s="29" t="n"/>
      <c r="K21" s="31" t="n"/>
      <c r="L21" s="31" t="n"/>
      <c r="M21" s="32">
        <f>IF(OR(L21="",H21="",G21="Judgment"),"",IFERROR(L21/H21-1,""))</f>
        <v/>
      </c>
      <c r="N21" s="31" t="n"/>
      <c r="O21" s="31" t="n"/>
      <c r="P21" s="26" t="inlineStr">
        <is>
          <t>As-is model sample (illustrative)</t>
        </is>
      </c>
      <c r="Q21" s="12" t="inlineStr">
        <is>
          <t>Finance</t>
        </is>
      </c>
      <c r="R21" s="12" t="inlineStr">
        <is>
          <t>Income statement or segment report</t>
        </is>
      </c>
      <c r="S21" s="12" t="inlineStr">
        <is>
          <t>Contracts × deal size, and the capacity chain, should reproduce it</t>
        </is>
      </c>
      <c r="T21" s="11" t="n">
        <v>12</v>
      </c>
    </row>
    <row r="22" ht="31" customHeight="1">
      <c r="A22" s="11" t="n">
        <v>3</v>
      </c>
      <c r="B22" s="12" t="inlineStr">
        <is>
          <t>contracts</t>
        </is>
      </c>
      <c r="C22" s="22" t="inlineStr">
        <is>
          <t>Contracts closed</t>
        </is>
      </c>
      <c r="D22" s="12" t="inlineStr">
        <is>
          <t>Executed agreements in the period that produced that revenue</t>
        </is>
      </c>
      <c r="E22" s="12" t="inlineStr"/>
      <c r="F22" s="12" t="inlineStr">
        <is>
          <t>count</t>
        </is>
      </c>
      <c r="G22" s="26" t="inlineStr">
        <is>
          <t>Validated actual</t>
        </is>
      </c>
      <c r="H22" s="33">
        <f>IF(G22="Validated actual",IF(I22="","",I22),IF(G22="Calculated",IF(J22="","",J22),IF(G22="Reference value",IF(K22="","",K22),IF(G22="Judgment",IF(L22="","",L22),""))))</f>
        <v/>
      </c>
      <c r="I22" s="34" t="n">
        <v>755</v>
      </c>
      <c r="J22" s="29" t="n"/>
      <c r="K22" s="34" t="n"/>
      <c r="L22" s="34" t="n"/>
      <c r="M22" s="32">
        <f>IF(OR(L22="",H22="",G22="Judgment"),"",IFERROR(L22/H22-1,""))</f>
        <v/>
      </c>
      <c r="N22" s="34" t="n"/>
      <c r="O22" s="34" t="n"/>
      <c r="P22" s="26" t="inlineStr">
        <is>
          <t>As-is model sample (illustrative)</t>
        </is>
      </c>
      <c r="Q22" s="12" t="inlineStr">
        <is>
          <t>Finance</t>
        </is>
      </c>
      <c r="R22" s="12" t="inlineStr">
        <is>
          <t>Billing or contract system</t>
        </is>
      </c>
      <c r="S22" s="12" t="inlineStr">
        <is>
          <t>Won opportunities in the CRM should match</t>
        </is>
      </c>
      <c r="T22" s="11" t="n">
        <v>12</v>
      </c>
    </row>
    <row r="23" ht="31" customHeight="1">
      <c r="A23" s="11" t="n">
        <v>3</v>
      </c>
      <c r="B23" s="12" t="inlineStr">
        <is>
          <t>plan_target</t>
        </is>
      </c>
      <c r="C23" s="22" t="inlineStr">
        <is>
          <t>Revenue plan</t>
        </is>
      </c>
      <c r="D23" s="12" t="inlineStr">
        <is>
          <t>Revenue the plan expected for the period</t>
        </is>
      </c>
      <c r="E23" s="12" t="inlineStr"/>
      <c r="F23" s="12" t="inlineStr">
        <is>
          <t>currency</t>
        </is>
      </c>
      <c r="G23" s="26" t="inlineStr">
        <is>
          <t>Validated actual</t>
        </is>
      </c>
      <c r="H23" s="30">
        <f>IF(G23="Validated actual",IF(I23="","",I23),IF(G23="Calculated",IF(J23="","",J23),IF(G23="Reference value",IF(K23="","",K23),IF(G23="Judgment",IF(L23="","",L23),""))))</f>
        <v/>
      </c>
      <c r="I23" s="31" t="n"/>
      <c r="J23" s="29" t="n"/>
      <c r="K23" s="31" t="n"/>
      <c r="L23" s="31" t="n"/>
      <c r="M23" s="32">
        <f>IF(OR(L23="",H23="",G23="Judgment"),"",IFERROR(L23/H23-1,""))</f>
        <v/>
      </c>
      <c r="N23" s="31" t="n"/>
      <c r="O23" s="31" t="n"/>
      <c r="P23" s="26" t="inlineStr"/>
      <c r="Q23" s="12" t="inlineStr">
        <is>
          <t>Finance</t>
        </is>
      </c>
      <c r="R23" s="12" t="inlineStr">
        <is>
          <t>Annual plan</t>
        </is>
      </c>
      <c r="S23" s="12" t="inlineStr">
        <is>
          <t>Territories × expected yield per territory should match</t>
        </is>
      </c>
      <c r="T23" s="11" t="n">
        <v>3</v>
      </c>
    </row>
    <row r="24" ht="17.5" customHeight="1">
      <c r="A24" s="11" t="n">
        <v>3</v>
      </c>
      <c r="B24" s="12" t="inlineStr">
        <is>
          <t>cost_of_revenue_amt</t>
        </is>
      </c>
      <c r="C24" s="35" t="inlineStr">
        <is>
          <t xml:space="preserve">    Cost of revenue</t>
        </is>
      </c>
      <c r="D24" s="12" t="inlineStr">
        <is>
          <t>Direct cost of delivering that revenue</t>
        </is>
      </c>
      <c r="E24" s="12" t="inlineStr"/>
      <c r="F24" s="12" t="inlineStr">
        <is>
          <t>currency</t>
        </is>
      </c>
      <c r="G24" s="26" t="inlineStr">
        <is>
          <t>Validated actual</t>
        </is>
      </c>
      <c r="H24" s="30">
        <f>IF(G24="Validated actual",IF(I24="","",I24),IF(G24="Calculated",IF(J24="","",J24),IF(G24="Reference value",IF(K24="","",K24),IF(G24="Judgment",IF(L24="","",L24),""))))</f>
        <v/>
      </c>
      <c r="I24" s="31" t="n"/>
      <c r="J24" s="29" t="n"/>
      <c r="K24" s="31" t="n"/>
      <c r="L24" s="31" t="n"/>
      <c r="M24" s="32">
        <f>IF(OR(L24="",H24="",G24="Judgment"),"",IFERROR(L24/H24-1,""))</f>
        <v/>
      </c>
      <c r="N24" s="31" t="n"/>
      <c r="O24" s="31" t="n"/>
      <c r="P24" s="26" t="inlineStr"/>
      <c r="Q24" s="12" t="inlineStr">
        <is>
          <t>Finance</t>
        </is>
      </c>
      <c r="R24" s="12" t="inlineStr">
        <is>
          <t>Income statement</t>
        </is>
      </c>
      <c r="S24" s="12" t="inlineStr"/>
      <c r="T24" s="11" t="n"/>
    </row>
    <row r="25" ht="17.5" customHeight="1">
      <c r="A25" s="11" t="n">
        <v>3</v>
      </c>
      <c r="B25" s="12" t="inlineStr">
        <is>
          <t>rnd_amt</t>
        </is>
      </c>
      <c r="C25" s="35" t="inlineStr">
        <is>
          <t xml:space="preserve">    Research and development</t>
        </is>
      </c>
      <c r="D25" s="12" t="inlineStr">
        <is>
          <t>R&amp;D expense for the period</t>
        </is>
      </c>
      <c r="E25" s="12" t="inlineStr"/>
      <c r="F25" s="12" t="inlineStr">
        <is>
          <t>currency</t>
        </is>
      </c>
      <c r="G25" s="26" t="inlineStr">
        <is>
          <t>Validated actual</t>
        </is>
      </c>
      <c r="H25" s="30">
        <f>IF(G25="Validated actual",IF(I25="","",I25),IF(G25="Calculated",IF(J25="","",J25),IF(G25="Reference value",IF(K25="","",K25),IF(G25="Judgment",IF(L25="","",L25),""))))</f>
        <v/>
      </c>
      <c r="I25" s="31" t="n"/>
      <c r="J25" s="29" t="n"/>
      <c r="K25" s="31" t="n"/>
      <c r="L25" s="31" t="n"/>
      <c r="M25" s="32">
        <f>IF(OR(L25="",H25="",G25="Judgment"),"",IFERROR(L25/H25-1,""))</f>
        <v/>
      </c>
      <c r="N25" s="31" t="n"/>
      <c r="O25" s="31" t="n"/>
      <c r="P25" s="26" t="inlineStr"/>
      <c r="Q25" s="12" t="inlineStr">
        <is>
          <t>Finance</t>
        </is>
      </c>
      <c r="R25" s="12" t="inlineStr">
        <is>
          <t>Income statement</t>
        </is>
      </c>
      <c r="S25" s="12" t="inlineStr"/>
      <c r="T25" s="11" t="n"/>
    </row>
    <row r="26" ht="17.5" customHeight="1">
      <c r="A26" s="11" t="n">
        <v>3</v>
      </c>
      <c r="B26" s="12" t="inlineStr">
        <is>
          <t>gna_amt</t>
        </is>
      </c>
      <c r="C26" s="35" t="inlineStr">
        <is>
          <t xml:space="preserve">    General and administrative</t>
        </is>
      </c>
      <c r="D26" s="12" t="inlineStr">
        <is>
          <t>G&amp;A expense for the period</t>
        </is>
      </c>
      <c r="E26" s="12" t="inlineStr"/>
      <c r="F26" s="12" t="inlineStr">
        <is>
          <t>currency</t>
        </is>
      </c>
      <c r="G26" s="26" t="inlineStr">
        <is>
          <t>Validated actual</t>
        </is>
      </c>
      <c r="H26" s="30">
        <f>IF(G26="Validated actual",IF(I26="","",I26),IF(G26="Calculated",IF(J26="","",J26),IF(G26="Reference value",IF(K26="","",K26),IF(G26="Judgment",IF(L26="","",L26),""))))</f>
        <v/>
      </c>
      <c r="I26" s="31" t="n"/>
      <c r="J26" s="29" t="n"/>
      <c r="K26" s="31" t="n"/>
      <c r="L26" s="31" t="n"/>
      <c r="M26" s="32">
        <f>IF(OR(L26="",H26="",G26="Judgment"),"",IFERROR(L26/H26-1,""))</f>
        <v/>
      </c>
      <c r="N26" s="31" t="n"/>
      <c r="O26" s="31" t="n"/>
      <c r="P26" s="26" t="inlineStr"/>
      <c r="Q26" s="12" t="inlineStr">
        <is>
          <t>Finance</t>
        </is>
      </c>
      <c r="R26" s="12" t="inlineStr">
        <is>
          <t>Income statement</t>
        </is>
      </c>
      <c r="S26" s="12" t="inlineStr"/>
      <c r="T26" s="11" t="n"/>
    </row>
    <row r="27" ht="31" customHeight="1">
      <c r="A27" s="11" t="n">
        <v>3</v>
      </c>
      <c r="B27" s="12" t="inlineStr">
        <is>
          <t>cost_of_revenue_pct</t>
        </is>
      </c>
      <c r="C27" s="22" t="inlineStr">
        <is>
          <t>Cost of revenue, % of revenue</t>
        </is>
      </c>
      <c r="D27" s="12" t="inlineStr">
        <is>
          <t>Cost of revenue ÷ revenue</t>
        </is>
      </c>
      <c r="E27" s="12" t="inlineStr"/>
      <c r="F27" s="12" t="inlineStr">
        <is>
          <t>ratio</t>
        </is>
      </c>
      <c r="G27" s="26" t="inlineStr">
        <is>
          <t>Reference value</t>
        </is>
      </c>
      <c r="H27" s="36">
        <f>IF(G27="Validated actual",IF(I27="","",I27),IF(G27="Calculated",IF(J27="","",J27),IF(G27="Reference value",IF(K27="","",K27),IF(G27="Judgment",IF(L27="","",L27),""))))</f>
        <v/>
      </c>
      <c r="I27" s="37" t="n"/>
      <c r="J27" s="38">
        <f>IFERROR(v_cost_of_revenue_amt/v_revenue,"")</f>
        <v/>
      </c>
      <c r="K27" s="37" t="n">
        <v>0.1322</v>
      </c>
      <c r="L27" s="37" t="n"/>
      <c r="M27" s="32">
        <f>IF(OR(L27="",H27="",G27="Judgment"),"",IFERROR(L27/H27-1,""))</f>
        <v/>
      </c>
      <c r="N27" s="37" t="n"/>
      <c r="O27" s="37" t="n"/>
      <c r="P27" s="26" t="inlineStr">
        <is>
          <t>Industry average used in the as-is model</t>
        </is>
      </c>
      <c r="Q27" s="12" t="inlineStr">
        <is>
          <t>Finance</t>
        </is>
      </c>
      <c r="R27" s="12" t="inlineStr">
        <is>
          <t>Income statement</t>
        </is>
      </c>
      <c r="S27" s="12" t="inlineStr">
        <is>
          <t>Income statement history shows a different ratio or a fixed component</t>
        </is>
      </c>
      <c r="T27" s="11" t="n">
        <v>12</v>
      </c>
    </row>
    <row r="28" ht="31" customHeight="1">
      <c r="A28" s="11" t="n">
        <v>3</v>
      </c>
      <c r="B28" s="12" t="inlineStr">
        <is>
          <t>rnd_pct</t>
        </is>
      </c>
      <c r="C28" s="22" t="inlineStr">
        <is>
          <t>R&amp;D, % of revenue</t>
        </is>
      </c>
      <c r="D28" s="12" t="inlineStr">
        <is>
          <t>R&amp;D ÷ revenue</t>
        </is>
      </c>
      <c r="E28" s="12" t="inlineStr"/>
      <c r="F28" s="12" t="inlineStr">
        <is>
          <t>ratio</t>
        </is>
      </c>
      <c r="G28" s="26" t="inlineStr">
        <is>
          <t>Reference value</t>
        </is>
      </c>
      <c r="H28" s="36">
        <f>IF(G28="Validated actual",IF(I28="","",I28),IF(G28="Calculated",IF(J28="","",J28),IF(G28="Reference value",IF(K28="","",K28),IF(G28="Judgment",IF(L28="","",L28),""))))</f>
        <v/>
      </c>
      <c r="I28" s="37" t="n"/>
      <c r="J28" s="38">
        <f>IFERROR(v_rnd_amt/v_revenue,"")</f>
        <v/>
      </c>
      <c r="K28" s="37" t="n">
        <v>0.1019</v>
      </c>
      <c r="L28" s="37" t="n"/>
      <c r="M28" s="32">
        <f>IF(OR(L28="",H28="",G28="Judgment"),"",IFERROR(L28/H28-1,""))</f>
        <v/>
      </c>
      <c r="N28" s="37" t="n"/>
      <c r="O28" s="37" t="n"/>
      <c r="P28" s="26" t="inlineStr">
        <is>
          <t>Industry average used in the as-is model</t>
        </is>
      </c>
      <c r="Q28" s="12" t="inlineStr">
        <is>
          <t>Finance</t>
        </is>
      </c>
      <c r="R28" s="12" t="inlineStr">
        <is>
          <t>Income statement</t>
        </is>
      </c>
      <c r="S28" s="12" t="inlineStr">
        <is>
          <t>R&amp;D does not move with revenue</t>
        </is>
      </c>
      <c r="T28" s="11" t="n">
        <v>12</v>
      </c>
    </row>
    <row r="29" ht="31" customHeight="1">
      <c r="A29" s="11" t="n">
        <v>3</v>
      </c>
      <c r="B29" s="12" t="inlineStr">
        <is>
          <t>gna_pct</t>
        </is>
      </c>
      <c r="C29" s="22" t="inlineStr">
        <is>
          <t>G&amp;A, % of revenue</t>
        </is>
      </c>
      <c r="D29" s="12" t="inlineStr">
        <is>
          <t>G&amp;A ÷ revenue</t>
        </is>
      </c>
      <c r="E29" s="12" t="inlineStr"/>
      <c r="F29" s="12" t="inlineStr">
        <is>
          <t>ratio</t>
        </is>
      </c>
      <c r="G29" s="26" t="inlineStr">
        <is>
          <t>Reference value</t>
        </is>
      </c>
      <c r="H29" s="36">
        <f>IF(G29="Validated actual",IF(I29="","",I29),IF(G29="Calculated",IF(J29="","",J29),IF(G29="Reference value",IF(K29="","",K29),IF(G29="Judgment",IF(L29="","",L29),""))))</f>
        <v/>
      </c>
      <c r="I29" s="37" t="n"/>
      <c r="J29" s="38">
        <f>IFERROR(v_gna_amt/v_revenue,"")</f>
        <v/>
      </c>
      <c r="K29" s="37" t="n">
        <v>0.154</v>
      </c>
      <c r="L29" s="37" t="n"/>
      <c r="M29" s="32">
        <f>IF(OR(L29="",H29="",G29="Judgment"),"",IFERROR(L29/H29-1,""))</f>
        <v/>
      </c>
      <c r="N29" s="37" t="n"/>
      <c r="O29" s="37" t="n"/>
      <c r="P29" s="26" t="inlineStr">
        <is>
          <t>Industry average used in the as-is model</t>
        </is>
      </c>
      <c r="Q29" s="12" t="inlineStr">
        <is>
          <t>Finance</t>
        </is>
      </c>
      <c r="R29" s="12" t="inlineStr">
        <is>
          <t>Income statement</t>
        </is>
      </c>
      <c r="S29" s="12" t="inlineStr">
        <is>
          <t>G&amp;A does not move with revenue</t>
        </is>
      </c>
      <c r="T29" s="11" t="n">
        <v>12</v>
      </c>
    </row>
    <row r="30">
      <c r="A30" s="20" t="inlineStr">
        <is>
          <t>Step 4. Sales and marketing cost detail  ·  Owner: Finance</t>
        </is>
      </c>
      <c r="B30" s="21" t="n"/>
      <c r="C30" s="21" t="n"/>
      <c r="D30" s="21" t="n"/>
      <c r="E30" s="21" t="n"/>
      <c r="F30" s="21" t="n"/>
      <c r="G30" s="21" t="n"/>
      <c r="H30" s="21" t="n"/>
      <c r="I30" s="21" t="n"/>
      <c r="J30" s="21" t="n"/>
      <c r="K30" s="21" t="n"/>
      <c r="L30" s="21" t="n"/>
      <c r="M30" s="21" t="n"/>
      <c r="N30" s="21" t="n"/>
      <c r="O30" s="21" t="n"/>
      <c r="P30" s="21" t="n"/>
      <c r="Q30" s="21" t="n"/>
      <c r="R30" s="21" t="n"/>
      <c r="S30" s="21" t="n"/>
      <c r="T30" s="21" t="n"/>
    </row>
    <row r="31" ht="44.5" customHeight="1">
      <c r="A31" s="11" t="n">
        <v>4</v>
      </c>
      <c r="B31" s="12" t="inlineStr">
        <is>
          <t>base_salary</t>
        </is>
      </c>
      <c r="C31" s="35" t="inlineStr">
        <is>
          <t xml:space="preserve">    Average base salary per salesperson</t>
        </is>
      </c>
      <c r="D31" s="12" t="inlineStr">
        <is>
          <t>Base pay of quota-carrying salespeople only; excludes managers, sales engineers and executives</t>
        </is>
      </c>
      <c r="E31" s="12" t="inlineStr"/>
      <c r="F31" s="12" t="inlineStr">
        <is>
          <t>currency</t>
        </is>
      </c>
      <c r="G31" s="26" t="inlineStr">
        <is>
          <t>Reference value</t>
        </is>
      </c>
      <c r="H31" s="30">
        <f>IF(G31="Validated actual",IF(I31="","",I31),IF(G31="Calculated",IF(J31="","",J31),IF(G31="Reference value",IF(K31="","",K31),IF(G31="Judgment",IF(L31="","",L31),""))))</f>
        <v/>
      </c>
      <c r="I31" s="31" t="n"/>
      <c r="J31" s="29" t="n"/>
      <c r="K31" s="31" t="n">
        <v>95000</v>
      </c>
      <c r="L31" s="31" t="n"/>
      <c r="M31" s="32">
        <f>IF(OR(L31="",H31="",G31="Judgment"),"",IFERROR(L31/H31-1,""))</f>
        <v/>
      </c>
      <c r="N31" s="31" t="n"/>
      <c r="O31" s="31" t="n"/>
      <c r="P31" s="26" t="inlineStr">
        <is>
          <t>As-is model sample (illustrative)</t>
        </is>
      </c>
      <c r="Q31" s="12" t="inlineStr">
        <is>
          <t>Finance</t>
        </is>
      </c>
      <c r="R31" s="12" t="inlineStr">
        <is>
          <t>Payroll register</t>
        </is>
      </c>
      <c r="S31" s="12" t="inlineStr">
        <is>
          <t>Payroll for quota-carrying roles differs</t>
        </is>
      </c>
      <c r="T31" s="11" t="n">
        <v>12</v>
      </c>
    </row>
    <row r="32" ht="31" customHeight="1">
      <c r="A32" s="11" t="n">
        <v>4</v>
      </c>
      <c r="B32" s="12" t="inlineStr">
        <is>
          <t>load_rate</t>
        </is>
      </c>
      <c r="C32" s="35" t="inlineStr">
        <is>
          <t xml:space="preserve">    Benefits and payroll tax load</t>
        </is>
      </c>
      <c r="D32" s="12" t="inlineStr">
        <is>
          <t>Benefits and payroll taxes ÷ base salary (no overhead allocation)</t>
        </is>
      </c>
      <c r="E32" s="12" t="inlineStr"/>
      <c r="F32" s="12" t="inlineStr">
        <is>
          <t>ratio</t>
        </is>
      </c>
      <c r="G32" s="26" t="inlineStr">
        <is>
          <t>Reference value</t>
        </is>
      </c>
      <c r="H32" s="36">
        <f>IF(G32="Validated actual",IF(I32="","",I32),IF(G32="Calculated",IF(J32="","",J32),IF(G32="Reference value",IF(K32="","",K32),IF(G32="Judgment",IF(L32="","",L32),""))))</f>
        <v/>
      </c>
      <c r="I32" s="37" t="n"/>
      <c r="J32" s="29" t="n"/>
      <c r="K32" s="37" t="n">
        <v>0.23</v>
      </c>
      <c r="L32" s="37" t="n"/>
      <c r="M32" s="32">
        <f>IF(OR(L32="",H32="",G32="Judgment"),"",IFERROR(L32/H32-1,""))</f>
        <v/>
      </c>
      <c r="N32" s="37" t="n"/>
      <c r="O32" s="37" t="n"/>
      <c r="P32" s="26" t="inlineStr">
        <is>
          <t>As-is model sample (illustrative)</t>
        </is>
      </c>
      <c r="Q32" s="12" t="inlineStr">
        <is>
          <t>Finance</t>
        </is>
      </c>
      <c r="R32" s="12" t="inlineStr">
        <is>
          <t>Payroll and benefits ledger</t>
        </is>
      </c>
      <c r="S32" s="12" t="inlineStr">
        <is>
          <t>Benefits ledger ÷ base payroll differs</t>
        </is>
      </c>
      <c r="T32" s="11" t="n">
        <v>12</v>
      </c>
    </row>
    <row r="33" ht="112" customHeight="1">
      <c r="A33" s="11" t="n">
        <v>4</v>
      </c>
      <c r="B33" s="12" t="inlineStr">
        <is>
          <t>loaded_salary</t>
        </is>
      </c>
      <c r="C33" s="22" t="inlineStr">
        <is>
          <t>Fully loaded salary per salesperson</t>
        </is>
      </c>
      <c r="D33" s="12" t="inlineStr">
        <is>
          <t>Base salary × (1 + load)</t>
        </is>
      </c>
      <c r="E33" s="12"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F33" s="12" t="inlineStr">
        <is>
          <t>currency</t>
        </is>
      </c>
      <c r="G33" s="26" t="inlineStr">
        <is>
          <t>Calculated</t>
        </is>
      </c>
      <c r="H33" s="30">
        <f>IF(G33="Validated actual",IF(I33="","",I33),IF(G33="Calculated",IF(J33="","",J33),IF(G33="Reference value",IF(K33="","",K33),IF(G33="Judgment",IF(L33="","",L33),""))))</f>
        <v/>
      </c>
      <c r="I33" s="31" t="n"/>
      <c r="J33" s="39">
        <f>IFERROR(v_base_salary*(1+v_load_rate),"")</f>
        <v/>
      </c>
      <c r="K33" s="31" t="n"/>
      <c r="L33" s="31" t="n"/>
      <c r="M33" s="32">
        <f>IF(OR(L33="",H33="",G33="Judgment"),"",IFERROR(L33/H33-1,""))</f>
        <v/>
      </c>
      <c r="N33" s="31" t="n"/>
      <c r="O33" s="31" t="n"/>
      <c r="P33" s="26" t="inlineStr"/>
      <c r="Q33" s="12" t="inlineStr">
        <is>
          <t>Finance</t>
        </is>
      </c>
      <c r="R33" s="12" t="inlineStr">
        <is>
          <t>Calculated from the two lines above</t>
        </is>
      </c>
      <c r="S33" s="12" t="inlineStr">
        <is>
          <t>Compensation cross-check against the ledger</t>
        </is>
      </c>
      <c r="T33" s="11" t="n">
        <v>12</v>
      </c>
    </row>
    <row r="34" ht="31" customHeight="1">
      <c r="A34" s="11" t="n">
        <v>4</v>
      </c>
      <c r="B34" s="12" t="inlineStr">
        <is>
          <t>trip_fare</t>
        </is>
      </c>
      <c r="C34" s="35" t="inlineStr">
        <is>
          <t xml:space="preserve">    Travel per trip: air, train, mileage</t>
        </is>
      </c>
      <c r="D34" s="12" t="inlineStr">
        <is>
          <t>Round trip, one salesperson</t>
        </is>
      </c>
      <c r="E34" s="12" t="inlineStr"/>
      <c r="F34" s="12" t="inlineStr">
        <is>
          <t>currency</t>
        </is>
      </c>
      <c r="G34" s="26" t="inlineStr">
        <is>
          <t>Reference value</t>
        </is>
      </c>
      <c r="H34" s="30">
        <f>IF(G34="Validated actual",IF(I34="","",I34),IF(G34="Calculated",IF(J34="","",J34),IF(G34="Reference value",IF(K34="","",K34),IF(G34="Judgment",IF(L34="","",L34),""))))</f>
        <v/>
      </c>
      <c r="I34" s="31" t="n"/>
      <c r="J34" s="29" t="n"/>
      <c r="K34" s="31" t="n">
        <v>750</v>
      </c>
      <c r="L34" s="31" t="n"/>
      <c r="M34" s="32">
        <f>IF(OR(L34="",H34="",G34="Judgment"),"",IFERROR(L34/H34-1,""))</f>
        <v/>
      </c>
      <c r="N34" s="31" t="n"/>
      <c r="O34" s="31" t="n"/>
      <c r="P34" s="26" t="inlineStr">
        <is>
          <t>As-is model sample (illustrative)</t>
        </is>
      </c>
      <c r="Q34" s="12" t="inlineStr">
        <is>
          <t>Finance</t>
        </is>
      </c>
      <c r="R34" s="12" t="inlineStr">
        <is>
          <t>Expense reports</t>
        </is>
      </c>
      <c r="S34" s="12" t="inlineStr"/>
      <c r="T34" s="11" t="n"/>
    </row>
    <row r="35" ht="31" customHeight="1">
      <c r="A35" s="11" t="n">
        <v>4</v>
      </c>
      <c r="B35" s="12" t="inlineStr">
        <is>
          <t>trip_ground</t>
        </is>
      </c>
      <c r="C35" s="35" t="inlineStr">
        <is>
          <t xml:space="preserve">    Travel per trip: cabs, tolls, rental</t>
        </is>
      </c>
      <c r="D35" s="12" t="inlineStr">
        <is>
          <t>Per trip</t>
        </is>
      </c>
      <c r="E35" s="12" t="inlineStr"/>
      <c r="F35" s="12" t="inlineStr">
        <is>
          <t>currency</t>
        </is>
      </c>
      <c r="G35" s="26" t="inlineStr">
        <is>
          <t>Reference value</t>
        </is>
      </c>
      <c r="H35" s="30">
        <f>IF(G35="Validated actual",IF(I35="","",I35),IF(G35="Calculated",IF(J35="","",J35),IF(G35="Reference value",IF(K35="","",K35),IF(G35="Judgment",IF(L35="","",L35),""))))</f>
        <v/>
      </c>
      <c r="I35" s="31" t="n"/>
      <c r="J35" s="29" t="n"/>
      <c r="K35" s="31" t="n">
        <v>200</v>
      </c>
      <c r="L35" s="31" t="n"/>
      <c r="M35" s="32">
        <f>IF(OR(L35="",H35="",G35="Judgment"),"",IFERROR(L35/H35-1,""))</f>
        <v/>
      </c>
      <c r="N35" s="31" t="n"/>
      <c r="O35" s="31" t="n"/>
      <c r="P35" s="26" t="inlineStr">
        <is>
          <t>As-is model sample (illustrative)</t>
        </is>
      </c>
      <c r="Q35" s="12" t="inlineStr">
        <is>
          <t>Finance</t>
        </is>
      </c>
      <c r="R35" s="12" t="inlineStr">
        <is>
          <t>Expense reports</t>
        </is>
      </c>
      <c r="S35" s="12" t="inlineStr"/>
      <c r="T35" s="11" t="n"/>
    </row>
    <row r="36" ht="31" customHeight="1">
      <c r="A36" s="11" t="n">
        <v>4</v>
      </c>
      <c r="B36" s="12" t="inlineStr">
        <is>
          <t>trip_meals</t>
        </is>
      </c>
      <c r="C36" s="35" t="inlineStr">
        <is>
          <t xml:space="preserve">    Meals per day</t>
        </is>
      </c>
      <c r="D36" s="12" t="inlineStr">
        <is>
          <t>Breakfast, lunch, dinner</t>
        </is>
      </c>
      <c r="E36" s="12" t="inlineStr"/>
      <c r="F36" s="12" t="inlineStr">
        <is>
          <t>currency</t>
        </is>
      </c>
      <c r="G36" s="26" t="inlineStr">
        <is>
          <t>Reference value</t>
        </is>
      </c>
      <c r="H36" s="30">
        <f>IF(G36="Validated actual",IF(I36="","",I36),IF(G36="Calculated",IF(J36="","",J36),IF(G36="Reference value",IF(K36="","",K36),IF(G36="Judgment",IF(L36="","",L36),""))))</f>
        <v/>
      </c>
      <c r="I36" s="31" t="n"/>
      <c r="J36" s="29" t="n"/>
      <c r="K36" s="31" t="n">
        <v>100</v>
      </c>
      <c r="L36" s="31" t="n"/>
      <c r="M36" s="32">
        <f>IF(OR(L36="",H36="",G36="Judgment"),"",IFERROR(L36/H36-1,""))</f>
        <v/>
      </c>
      <c r="N36" s="31" t="n"/>
      <c r="O36" s="31" t="n"/>
      <c r="P36" s="26" t="inlineStr">
        <is>
          <t>As-is model sample (illustrative)</t>
        </is>
      </c>
      <c r="Q36" s="12" t="inlineStr">
        <is>
          <t>Finance</t>
        </is>
      </c>
      <c r="R36" s="12" t="inlineStr">
        <is>
          <t>Expense reports</t>
        </is>
      </c>
      <c r="S36" s="12" t="inlineStr"/>
      <c r="T36" s="11" t="n"/>
    </row>
    <row r="37" ht="31" customHeight="1">
      <c r="A37" s="11" t="n">
        <v>4</v>
      </c>
      <c r="B37" s="12" t="inlineStr">
        <is>
          <t>trip_lodging</t>
        </is>
      </c>
      <c r="C37" s="35" t="inlineStr">
        <is>
          <t xml:space="preserve">    Lodging per night</t>
        </is>
      </c>
      <c r="D37" s="12" t="inlineStr">
        <is>
          <t>Average room cost</t>
        </is>
      </c>
      <c r="E37" s="12" t="inlineStr"/>
      <c r="F37" s="12" t="inlineStr">
        <is>
          <t>currency</t>
        </is>
      </c>
      <c r="G37" s="26" t="inlineStr">
        <is>
          <t>Reference value</t>
        </is>
      </c>
      <c r="H37" s="30">
        <f>IF(G37="Validated actual",IF(I37="","",I37),IF(G37="Calculated",IF(J37="","",J37),IF(G37="Reference value",IF(K37="","",K37),IF(G37="Judgment",IF(L37="","",L37),""))))</f>
        <v/>
      </c>
      <c r="I37" s="31" t="n"/>
      <c r="J37" s="29" t="n"/>
      <c r="K37" s="31" t="n">
        <v>250</v>
      </c>
      <c r="L37" s="31" t="n"/>
      <c r="M37" s="32">
        <f>IF(OR(L37="",H37="",G37="Judgment"),"",IFERROR(L37/H37-1,""))</f>
        <v/>
      </c>
      <c r="N37" s="31" t="n"/>
      <c r="O37" s="31" t="n"/>
      <c r="P37" s="26" t="inlineStr">
        <is>
          <t>As-is model sample (illustrative)</t>
        </is>
      </c>
      <c r="Q37" s="12" t="inlineStr">
        <is>
          <t>Finance</t>
        </is>
      </c>
      <c r="R37" s="12" t="inlineStr">
        <is>
          <t>Expense reports</t>
        </is>
      </c>
      <c r="S37" s="12" t="inlineStr"/>
      <c r="T37" s="11" t="n"/>
    </row>
    <row r="38" ht="31" customHeight="1">
      <c r="A38" s="11" t="n">
        <v>4</v>
      </c>
      <c r="B38" s="12" t="inlineStr">
        <is>
          <t>trip_days</t>
        </is>
      </c>
      <c r="C38" s="35" t="inlineStr">
        <is>
          <t xml:space="preserve">    Days per trip</t>
        </is>
      </c>
      <c r="D38" s="12" t="inlineStr">
        <is>
          <t>Days away per trip</t>
        </is>
      </c>
      <c r="E38" s="12" t="inlineStr"/>
      <c r="F38" s="12" t="inlineStr">
        <is>
          <t>count</t>
        </is>
      </c>
      <c r="G38" s="26" t="inlineStr">
        <is>
          <t>Reference value</t>
        </is>
      </c>
      <c r="H38" s="33">
        <f>IF(G38="Validated actual",IF(I38="","",I38),IF(G38="Calculated",IF(J38="","",J38),IF(G38="Reference value",IF(K38="","",K38),IF(G38="Judgment",IF(L38="","",L38),""))))</f>
        <v/>
      </c>
      <c r="I38" s="34" t="n"/>
      <c r="J38" s="29" t="n"/>
      <c r="K38" s="34" t="n">
        <v>2</v>
      </c>
      <c r="L38" s="34" t="n"/>
      <c r="M38" s="32">
        <f>IF(OR(L38="",H38="",G38="Judgment"),"",IFERROR(L38/H38-1,""))</f>
        <v/>
      </c>
      <c r="N38" s="34" t="n"/>
      <c r="O38" s="34" t="n"/>
      <c r="P38" s="26" t="inlineStr">
        <is>
          <t>As-is model sample (illustrative)</t>
        </is>
      </c>
      <c r="Q38" s="12" t="inlineStr">
        <is>
          <t>Finance</t>
        </is>
      </c>
      <c r="R38" s="12" t="inlineStr">
        <is>
          <t>Expense reports</t>
        </is>
      </c>
      <c r="S38" s="12" t="inlineStr"/>
      <c r="T38" s="11" t="n"/>
    </row>
    <row r="39" ht="31" customHeight="1">
      <c r="A39" s="11" t="n">
        <v>4</v>
      </c>
      <c r="B39" s="12" t="inlineStr">
        <is>
          <t>trip_entertainment</t>
        </is>
      </c>
      <c r="C39" s="35" t="inlineStr">
        <is>
          <t xml:space="preserve">    Entertainment per trip</t>
        </is>
      </c>
      <c r="D39" s="12" t="inlineStr">
        <is>
          <t>Client meals and events per trip</t>
        </is>
      </c>
      <c r="E39" s="12" t="inlineStr"/>
      <c r="F39" s="12" t="inlineStr">
        <is>
          <t>currency</t>
        </is>
      </c>
      <c r="G39" s="26" t="inlineStr">
        <is>
          <t>Reference value</t>
        </is>
      </c>
      <c r="H39" s="30">
        <f>IF(G39="Validated actual",IF(I39="","",I39),IF(G39="Calculated",IF(J39="","",J39),IF(G39="Reference value",IF(K39="","",K39),IF(G39="Judgment",IF(L39="","",L39),""))))</f>
        <v/>
      </c>
      <c r="I39" s="31" t="n"/>
      <c r="J39" s="29" t="n"/>
      <c r="K39" s="31" t="n">
        <v>250</v>
      </c>
      <c r="L39" s="31" t="n"/>
      <c r="M39" s="32">
        <f>IF(OR(L39="",H39="",G39="Judgment"),"",IFERROR(L39/H39-1,""))</f>
        <v/>
      </c>
      <c r="N39" s="31" t="n"/>
      <c r="O39" s="31" t="n"/>
      <c r="P39" s="26" t="inlineStr">
        <is>
          <t>As-is model sample (illustrative)</t>
        </is>
      </c>
      <c r="Q39" s="12" t="inlineStr">
        <is>
          <t>Finance</t>
        </is>
      </c>
      <c r="R39" s="12" t="inlineStr">
        <is>
          <t>Expense reports</t>
        </is>
      </c>
      <c r="S39" s="12" t="inlineStr"/>
      <c r="T39" s="11" t="n"/>
    </row>
    <row r="40" ht="31" customHeight="1">
      <c r="A40" s="11" t="n">
        <v>4</v>
      </c>
      <c r="B40" s="12" t="inlineStr">
        <is>
          <t>trips_per_year</t>
        </is>
      </c>
      <c r="C40" s="35" t="inlineStr">
        <is>
          <t xml:space="preserve">    Trips per year</t>
        </is>
      </c>
      <c r="D40" s="12" t="inlineStr">
        <is>
          <t>Sales trips per salesperson per year</t>
        </is>
      </c>
      <c r="E40" s="12" t="inlineStr"/>
      <c r="F40" s="12" t="inlineStr">
        <is>
          <t>count</t>
        </is>
      </c>
      <c r="G40" s="26" t="inlineStr">
        <is>
          <t>Reference value</t>
        </is>
      </c>
      <c r="H40" s="33">
        <f>IF(G40="Validated actual",IF(I40="","",I40),IF(G40="Calculated",IF(J40="","",J40),IF(G40="Reference value",IF(K40="","",K40),IF(G40="Judgment",IF(L40="","",L40),""))))</f>
        <v/>
      </c>
      <c r="I40" s="34" t="n"/>
      <c r="J40" s="29" t="n"/>
      <c r="K40" s="34" t="n">
        <v>25</v>
      </c>
      <c r="L40" s="34" t="n"/>
      <c r="M40" s="32">
        <f>IF(OR(L40="",H40="",G40="Judgment"),"",IFERROR(L40/H40-1,""))</f>
        <v/>
      </c>
      <c r="N40" s="34" t="n"/>
      <c r="O40" s="34" t="n"/>
      <c r="P40" s="26" t="inlineStr">
        <is>
          <t>As-is model sample (illustrative)</t>
        </is>
      </c>
      <c r="Q40" s="12" t="inlineStr">
        <is>
          <t>Finance</t>
        </is>
      </c>
      <c r="R40" s="12" t="inlineStr">
        <is>
          <t>Expense reports or calendars</t>
        </is>
      </c>
      <c r="S40" s="12" t="inlineStr"/>
      <c r="T40" s="11" t="n"/>
    </row>
    <row r="41" ht="179.5" customHeight="1">
      <c r="A41" s="11" t="n">
        <v>4</v>
      </c>
      <c r="B41" s="12" t="inlineStr">
        <is>
          <t>travel_per_salesperson</t>
        </is>
      </c>
      <c r="C41" s="22" t="inlineStr">
        <is>
          <t>Travel cost per salesperson</t>
        </is>
      </c>
      <c r="D41" s="12" t="inlineStr">
        <is>
          <t>Actual: quota salespeople's T&amp;E ÷ salespeople. Calculated: trip build-up</t>
        </is>
      </c>
      <c r="E41" s="12"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F41" s="12" t="inlineStr">
        <is>
          <t>currency</t>
        </is>
      </c>
      <c r="G41" s="26" t="inlineStr">
        <is>
          <t>Calculated</t>
        </is>
      </c>
      <c r="H41" s="30">
        <f>IF(G41="Validated actual",IF(I41="","",I41),IF(G41="Calculated",IF(J41="","",J41),IF(G41="Reference value",IF(K41="","",K41),IF(G41="Judgment",IF(L41="","",L41),""))))</f>
        <v/>
      </c>
      <c r="I41" s="31" t="n"/>
      <c r="J41" s="39">
        <f>IFERROR(((v_trip_fare+v_trip_ground+v_trip_entertainment)+v_trip_days*(v_trip_meals+v_trip_lodging))*v_trips_per_year,"")</f>
        <v/>
      </c>
      <c r="K41" s="31" t="n"/>
      <c r="L41" s="31" t="n"/>
      <c r="M41" s="32">
        <f>IF(OR(L41="",H41="",G41="Judgment"),"",IFERROR(L41/H41-1,""))</f>
        <v/>
      </c>
      <c r="N41" s="31" t="n"/>
      <c r="O41" s="31" t="n"/>
      <c r="P41" s="26" t="inlineStr"/>
      <c r="Q41" s="12" t="inlineStr">
        <is>
          <t>Finance</t>
        </is>
      </c>
      <c r="R41" s="12" t="inlineStr">
        <is>
          <t>Expense ledger</t>
        </is>
      </c>
      <c r="S41" s="12" t="inlineStr">
        <is>
          <t>T&amp;E ledger for quota salespeople differs</t>
        </is>
      </c>
      <c r="T41" s="11" t="n">
        <v>12</v>
      </c>
    </row>
    <row r="42" ht="31" customHeight="1">
      <c r="A42" s="11" t="n">
        <v>4</v>
      </c>
      <c r="B42" s="12" t="inlineStr">
        <is>
          <t>oh_managers</t>
        </is>
      </c>
      <c r="C42" s="35" t="inlineStr">
        <is>
          <t xml:space="preserve">    Non-quota sales manager salaries</t>
        </is>
      </c>
      <c r="D42" s="12" t="inlineStr">
        <is>
          <t>Managers who carry no quota</t>
        </is>
      </c>
      <c r="E42" s="12" t="inlineStr"/>
      <c r="F42" s="12" t="inlineStr">
        <is>
          <t>currency</t>
        </is>
      </c>
      <c r="G42" s="26" t="inlineStr">
        <is>
          <t>Reference value</t>
        </is>
      </c>
      <c r="H42" s="30">
        <f>IF(G42="Validated actual",IF(I42="","",I42),IF(G42="Calculated",IF(J42="","",J42),IF(G42="Reference value",IF(K42="","",K42),IF(G42="Judgment",IF(L42="","",L42),""))))</f>
        <v/>
      </c>
      <c r="I42" s="31" t="n"/>
      <c r="J42" s="29" t="n"/>
      <c r="K42" s="31" t="n">
        <v>2750000</v>
      </c>
      <c r="L42" s="31" t="n"/>
      <c r="M42" s="32">
        <f>IF(OR(L42="",H42="",G42="Judgment"),"",IFERROR(L42/H42-1,""))</f>
        <v/>
      </c>
      <c r="N42" s="31" t="n"/>
      <c r="O42" s="31" t="n"/>
      <c r="P42" s="26" t="inlineStr">
        <is>
          <t>As-is model sample (illustrative)</t>
        </is>
      </c>
      <c r="Q42" s="12" t="inlineStr">
        <is>
          <t>Finance</t>
        </is>
      </c>
      <c r="R42" s="12" t="inlineStr">
        <is>
          <t>General ledger</t>
        </is>
      </c>
      <c r="S42" s="12" t="inlineStr"/>
      <c r="T42" s="11" t="n"/>
    </row>
    <row r="43" ht="31" customHeight="1">
      <c r="A43" s="11" t="n">
        <v>4</v>
      </c>
      <c r="B43" s="12" t="inlineStr">
        <is>
          <t>oh_engineers</t>
        </is>
      </c>
      <c r="C43" s="35" t="inlineStr">
        <is>
          <t xml:space="preserve">    Sales engineers and other non-quota support</t>
        </is>
      </c>
      <c r="D43" s="12" t="inlineStr">
        <is>
          <t>Pre-sales and support roles</t>
        </is>
      </c>
      <c r="E43" s="12" t="inlineStr"/>
      <c r="F43" s="12" t="inlineStr">
        <is>
          <t>currency</t>
        </is>
      </c>
      <c r="G43" s="26" t="inlineStr">
        <is>
          <t>Reference value</t>
        </is>
      </c>
      <c r="H43" s="30">
        <f>IF(G43="Validated actual",IF(I43="","",I43),IF(G43="Calculated",IF(J43="","",J43),IF(G43="Reference value",IF(K43="","",K43),IF(G43="Judgment",IF(L43="","",L43),""))))</f>
        <v/>
      </c>
      <c r="I43" s="31" t="n"/>
      <c r="J43" s="29" t="n"/>
      <c r="K43" s="31" t="n">
        <v>6000000</v>
      </c>
      <c r="L43" s="31" t="n"/>
      <c r="M43" s="32">
        <f>IF(OR(L43="",H43="",G43="Judgment"),"",IFERROR(L43/H43-1,""))</f>
        <v/>
      </c>
      <c r="N43" s="31" t="n"/>
      <c r="O43" s="31" t="n"/>
      <c r="P43" s="26" t="inlineStr">
        <is>
          <t>As-is model sample (illustrative)</t>
        </is>
      </c>
      <c r="Q43" s="12" t="inlineStr">
        <is>
          <t>Finance</t>
        </is>
      </c>
      <c r="R43" s="12" t="inlineStr">
        <is>
          <t>General ledger</t>
        </is>
      </c>
      <c r="S43" s="12" t="inlineStr"/>
      <c r="T43" s="11" t="n"/>
    </row>
    <row r="44" ht="31" customHeight="1">
      <c r="A44" s="11" t="n">
        <v>4</v>
      </c>
      <c r="B44" s="12" t="inlineStr">
        <is>
          <t>oh_admin</t>
        </is>
      </c>
      <c r="C44" s="35" t="inlineStr">
        <is>
          <t xml:space="preserve">    Sales operations and administration</t>
        </is>
      </c>
      <c r="D44" s="12" t="inlineStr">
        <is>
          <t>Sales ops and admin staff</t>
        </is>
      </c>
      <c r="E44" s="12" t="inlineStr"/>
      <c r="F44" s="12" t="inlineStr">
        <is>
          <t>currency</t>
        </is>
      </c>
      <c r="G44" s="26" t="inlineStr">
        <is>
          <t>Reference value</t>
        </is>
      </c>
      <c r="H44" s="30">
        <f>IF(G44="Validated actual",IF(I44="","",I44),IF(G44="Calculated",IF(J44="","",J44),IF(G44="Reference value",IF(K44="","",K44),IF(G44="Judgment",IF(L44="","",L44),""))))</f>
        <v/>
      </c>
      <c r="I44" s="31" t="n"/>
      <c r="J44" s="29" t="n"/>
      <c r="K44" s="31" t="n">
        <v>800000</v>
      </c>
      <c r="L44" s="31" t="n"/>
      <c r="M44" s="32">
        <f>IF(OR(L44="",H44="",G44="Judgment"),"",IFERROR(L44/H44-1,""))</f>
        <v/>
      </c>
      <c r="N44" s="31" t="n"/>
      <c r="O44" s="31" t="n"/>
      <c r="P44" s="26" t="inlineStr">
        <is>
          <t>As-is model sample (illustrative)</t>
        </is>
      </c>
      <c r="Q44" s="12" t="inlineStr">
        <is>
          <t>Finance</t>
        </is>
      </c>
      <c r="R44" s="12" t="inlineStr">
        <is>
          <t>General ledger</t>
        </is>
      </c>
      <c r="S44" s="12" t="inlineStr"/>
      <c r="T44" s="11" t="n"/>
    </row>
    <row r="45" ht="31" customHeight="1">
      <c r="A45" s="11" t="n">
        <v>4</v>
      </c>
      <c r="B45" s="12" t="inlineStr">
        <is>
          <t>oh_training</t>
        </is>
      </c>
      <c r="C45" s="35" t="inlineStr">
        <is>
          <t xml:space="preserve">    Training</t>
        </is>
      </c>
      <c r="D45" s="12" t="inlineStr">
        <is>
          <t>Training costs, travel for training, related headcount</t>
        </is>
      </c>
      <c r="E45" s="12" t="inlineStr"/>
      <c r="F45" s="12" t="inlineStr">
        <is>
          <t>currency</t>
        </is>
      </c>
      <c r="G45" s="26" t="inlineStr">
        <is>
          <t>Reference value</t>
        </is>
      </c>
      <c r="H45" s="30">
        <f>IF(G45="Validated actual",IF(I45="","",I45),IF(G45="Calculated",IF(J45="","",J45),IF(G45="Reference value",IF(K45="","",K45),IF(G45="Judgment",IF(L45="","",L45),""))))</f>
        <v/>
      </c>
      <c r="I45" s="31" t="n"/>
      <c r="J45" s="29" t="n"/>
      <c r="K45" s="31" t="n">
        <v>500000</v>
      </c>
      <c r="L45" s="31" t="n"/>
      <c r="M45" s="32">
        <f>IF(OR(L45="",H45="",G45="Judgment"),"",IFERROR(L45/H45-1,""))</f>
        <v/>
      </c>
      <c r="N45" s="31" t="n"/>
      <c r="O45" s="31" t="n"/>
      <c r="P45" s="26" t="inlineStr">
        <is>
          <t>As-is model sample (illustrative)</t>
        </is>
      </c>
      <c r="Q45" s="12" t="inlineStr">
        <is>
          <t>Finance</t>
        </is>
      </c>
      <c r="R45" s="12" t="inlineStr">
        <is>
          <t>General ledger</t>
        </is>
      </c>
      <c r="S45" s="12" t="inlineStr"/>
      <c r="T45" s="11" t="n"/>
    </row>
    <row r="46" ht="31" customHeight="1">
      <c r="A46" s="11" t="n">
        <v>4</v>
      </c>
      <c r="B46" s="12" t="inlineStr">
        <is>
          <t>oh_incentives</t>
        </is>
      </c>
      <c r="C46" s="35" t="inlineStr">
        <is>
          <t xml:space="preserve">    Non-quota incentives</t>
        </is>
      </c>
      <c r="D46" s="12" t="inlineStr">
        <is>
          <t>Contests, recognition trips, non-quota commissions</t>
        </is>
      </c>
      <c r="E46" s="12" t="inlineStr"/>
      <c r="F46" s="12" t="inlineStr">
        <is>
          <t>currency</t>
        </is>
      </c>
      <c r="G46" s="26" t="inlineStr">
        <is>
          <t>Reference value</t>
        </is>
      </c>
      <c r="H46" s="30">
        <f>IF(G46="Validated actual",IF(I46="","",I46),IF(G46="Calculated",IF(J46="","",J46),IF(G46="Reference value",IF(K46="","",K46),IF(G46="Judgment",IF(L46="","",L46),""))))</f>
        <v/>
      </c>
      <c r="I46" s="31" t="n"/>
      <c r="J46" s="29" t="n"/>
      <c r="K46" s="31" t="n">
        <v>750000</v>
      </c>
      <c r="L46" s="31" t="n"/>
      <c r="M46" s="32">
        <f>IF(OR(L46="",H46="",G46="Judgment"),"",IFERROR(L46/H46-1,""))</f>
        <v/>
      </c>
      <c r="N46" s="31" t="n"/>
      <c r="O46" s="31" t="n"/>
      <c r="P46" s="26" t="inlineStr">
        <is>
          <t>As-is model sample (illustrative)</t>
        </is>
      </c>
      <c r="Q46" s="12" t="inlineStr">
        <is>
          <t>Finance</t>
        </is>
      </c>
      <c r="R46" s="12" t="inlineStr">
        <is>
          <t>General ledger</t>
        </is>
      </c>
      <c r="S46" s="12" t="inlineStr"/>
      <c r="T46" s="11" t="n"/>
    </row>
    <row r="47" ht="125.5" customHeight="1">
      <c r="A47" s="11" t="n">
        <v>4</v>
      </c>
      <c r="B47" s="12" t="inlineStr">
        <is>
          <t>sales_overhead</t>
        </is>
      </c>
      <c r="C47" s="22" t="inlineStr">
        <is>
          <t>Sales overhead</t>
        </is>
      </c>
      <c r="D47" s="12" t="inlineStr">
        <is>
          <t>Non-variable cost of running the sales organization</t>
        </is>
      </c>
      <c r="E47" s="12" t="inlineStr">
        <is>
          <t>Our goal with this exercise is to assess how well your company is is utilizing its sales and marketing assets. To do this, we have to examine all of the associated costs that are related to sales and marketing performance. This will help you put these investments in the right context and determine the effectiveness of these investments.
This tracks all of the non-variable costs associated with running a sales organization, and includes executive salaries, sales support, training, and performance plans.</t>
        </is>
      </c>
      <c r="F47" s="12" t="inlineStr">
        <is>
          <t>currency</t>
        </is>
      </c>
      <c r="G47" s="26" t="inlineStr">
        <is>
          <t>Calculated</t>
        </is>
      </c>
      <c r="H47" s="30">
        <f>IF(G47="Validated actual",IF(I47="","",I47),IF(G47="Calculated",IF(J47="","",J47),IF(G47="Reference value",IF(K47="","",K47),IF(G47="Judgment",IF(L47="","",L47),""))))</f>
        <v/>
      </c>
      <c r="I47" s="31" t="n"/>
      <c r="J47" s="39">
        <f>IFERROR(v_oh_managers+v_oh_engineers+v_oh_admin+v_oh_training+v_oh_incentives,"")</f>
        <v/>
      </c>
      <c r="K47" s="31" t="n"/>
      <c r="L47" s="31" t="n"/>
      <c r="M47" s="32">
        <f>IF(OR(L47="",H47="",G47="Judgment"),"",IFERROR(L47/H47-1,""))</f>
        <v/>
      </c>
      <c r="N47" s="31" t="n"/>
      <c r="O47" s="31" t="n"/>
      <c r="P47" s="26" t="inlineStr"/>
      <c r="Q47" s="12" t="inlineStr">
        <is>
          <t>Finance</t>
        </is>
      </c>
      <c r="R47" s="12" t="inlineStr">
        <is>
          <t>Sum of the lines above</t>
        </is>
      </c>
      <c r="S47" s="12" t="inlineStr">
        <is>
          <t>Ledger total differs</t>
        </is>
      </c>
      <c r="T47" s="11" t="n">
        <v>12</v>
      </c>
    </row>
    <row r="48" ht="31" customHeight="1">
      <c r="A48" s="11" t="n">
        <v>4</v>
      </c>
      <c r="B48" s="12" t="inlineStr">
        <is>
          <t>mk_people</t>
        </is>
      </c>
      <c r="C48" s="35" t="inlineStr">
        <is>
          <t xml:space="preserve">    Marketing personnel</t>
        </is>
      </c>
      <c r="D48" s="12" t="inlineStr">
        <is>
          <t>All marketing staff</t>
        </is>
      </c>
      <c r="E48" s="12" t="inlineStr"/>
      <c r="F48" s="12" t="inlineStr">
        <is>
          <t>currency</t>
        </is>
      </c>
      <c r="G48" s="26" t="inlineStr">
        <is>
          <t>Reference value</t>
        </is>
      </c>
      <c r="H48" s="30">
        <f>IF(G48="Validated actual",IF(I48="","",I48),IF(G48="Calculated",IF(J48="","",J48),IF(G48="Reference value",IF(K48="","",K48),IF(G48="Judgment",IF(L48="","",L48),""))))</f>
        <v/>
      </c>
      <c r="I48" s="31" t="n"/>
      <c r="J48" s="29" t="n"/>
      <c r="K48" s="31" t="n">
        <v>1000000</v>
      </c>
      <c r="L48" s="31" t="n"/>
      <c r="M48" s="32">
        <f>IF(OR(L48="",H48="",G48="Judgment"),"",IFERROR(L48/H48-1,""))</f>
        <v/>
      </c>
      <c r="N48" s="31" t="n"/>
      <c r="O48" s="31" t="n"/>
      <c r="P48" s="26" t="inlineStr">
        <is>
          <t>As-is model sample (illustrative)</t>
        </is>
      </c>
      <c r="Q48" s="12" t="inlineStr">
        <is>
          <t>Finance</t>
        </is>
      </c>
      <c r="R48" s="12" t="inlineStr">
        <is>
          <t>General ledger</t>
        </is>
      </c>
      <c r="S48" s="12" t="inlineStr"/>
      <c r="T48" s="11" t="n"/>
    </row>
    <row r="49" ht="31" customHeight="1">
      <c r="A49" s="11" t="n">
        <v>4</v>
      </c>
      <c r="B49" s="12" t="inlineStr">
        <is>
          <t>mk_web</t>
        </is>
      </c>
      <c r="C49" s="35" t="inlineStr">
        <is>
          <t xml:space="preserve">    Website</t>
        </is>
      </c>
      <c r="D49" s="12" t="inlineStr">
        <is>
          <t>Website investment and maintenance</t>
        </is>
      </c>
      <c r="E49" s="12" t="inlineStr"/>
      <c r="F49" s="12" t="inlineStr">
        <is>
          <t>currency</t>
        </is>
      </c>
      <c r="G49" s="26" t="inlineStr">
        <is>
          <t>Reference value</t>
        </is>
      </c>
      <c r="H49" s="30">
        <f>IF(G49="Validated actual",IF(I49="","",I49),IF(G49="Calculated",IF(J49="","",J49),IF(G49="Reference value",IF(K49="","",K49),IF(G49="Judgment",IF(L49="","",L49),""))))</f>
        <v/>
      </c>
      <c r="I49" s="31" t="n"/>
      <c r="J49" s="29" t="n"/>
      <c r="K49" s="31" t="n">
        <v>250000</v>
      </c>
      <c r="L49" s="31" t="n"/>
      <c r="M49" s="32">
        <f>IF(OR(L49="",H49="",G49="Judgment"),"",IFERROR(L49/H49-1,""))</f>
        <v/>
      </c>
      <c r="N49" s="31" t="n"/>
      <c r="O49" s="31" t="n"/>
      <c r="P49" s="26" t="inlineStr">
        <is>
          <t>As-is model sample (illustrative)</t>
        </is>
      </c>
      <c r="Q49" s="12" t="inlineStr">
        <is>
          <t>Finance</t>
        </is>
      </c>
      <c r="R49" s="12" t="inlineStr">
        <is>
          <t>General ledger</t>
        </is>
      </c>
      <c r="S49" s="12" t="inlineStr"/>
      <c r="T49" s="11" t="n"/>
    </row>
    <row r="50" ht="31" customHeight="1">
      <c r="A50" s="11" t="n">
        <v>4</v>
      </c>
      <c r="B50" s="12" t="inlineStr">
        <is>
          <t>mk_events</t>
        </is>
      </c>
      <c r="C50" s="35" t="inlineStr">
        <is>
          <t xml:space="preserve">    Events</t>
        </is>
      </c>
      <c r="D50" s="12" t="inlineStr">
        <is>
          <t>Online events and roadshows</t>
        </is>
      </c>
      <c r="E50" s="12" t="inlineStr"/>
      <c r="F50" s="12" t="inlineStr">
        <is>
          <t>currency</t>
        </is>
      </c>
      <c r="G50" s="26" t="inlineStr">
        <is>
          <t>Reference value</t>
        </is>
      </c>
      <c r="H50" s="30">
        <f>IF(G50="Validated actual",IF(I50="","",I50),IF(G50="Calculated",IF(J50="","",J50),IF(G50="Reference value",IF(K50="","",K50),IF(G50="Judgment",IF(L50="","",L50),""))))</f>
        <v/>
      </c>
      <c r="I50" s="31" t="n"/>
      <c r="J50" s="29" t="n"/>
      <c r="K50" s="31" t="n">
        <v>500000</v>
      </c>
      <c r="L50" s="31" t="n"/>
      <c r="M50" s="32">
        <f>IF(OR(L50="",H50="",G50="Judgment"),"",IFERROR(L50/H50-1,""))</f>
        <v/>
      </c>
      <c r="N50" s="31" t="n"/>
      <c r="O50" s="31" t="n"/>
      <c r="P50" s="26" t="inlineStr">
        <is>
          <t>As-is model sample (illustrative)</t>
        </is>
      </c>
      <c r="Q50" s="12" t="inlineStr">
        <is>
          <t>Finance</t>
        </is>
      </c>
      <c r="R50" s="12" t="inlineStr">
        <is>
          <t>General ledger</t>
        </is>
      </c>
      <c r="S50" s="12" t="inlineStr"/>
      <c r="T50" s="11" t="n"/>
    </row>
    <row r="51" ht="31" customHeight="1">
      <c r="A51" s="11" t="n">
        <v>4</v>
      </c>
      <c r="B51" s="12" t="inlineStr">
        <is>
          <t>mk_ads</t>
        </is>
      </c>
      <c r="C51" s="35" t="inlineStr">
        <is>
          <t xml:space="preserve">    Advertising</t>
        </is>
      </c>
      <c r="D51" s="12" t="inlineStr">
        <is>
          <t>Paid media</t>
        </is>
      </c>
      <c r="E51" s="12" t="inlineStr"/>
      <c r="F51" s="12" t="inlineStr">
        <is>
          <t>currency</t>
        </is>
      </c>
      <c r="G51" s="26" t="inlineStr">
        <is>
          <t>Reference value</t>
        </is>
      </c>
      <c r="H51" s="30">
        <f>IF(G51="Validated actual",IF(I51="","",I51),IF(G51="Calculated",IF(J51="","",J51),IF(G51="Reference value",IF(K51="","",K51),IF(G51="Judgment",IF(L51="","",L51),""))))</f>
        <v/>
      </c>
      <c r="I51" s="31" t="n"/>
      <c r="J51" s="29" t="n"/>
      <c r="K51" s="31" t="n">
        <v>500000</v>
      </c>
      <c r="L51" s="31" t="n"/>
      <c r="M51" s="32">
        <f>IF(OR(L51="",H51="",G51="Judgment"),"",IFERROR(L51/H51-1,""))</f>
        <v/>
      </c>
      <c r="N51" s="31" t="n"/>
      <c r="O51" s="31" t="n"/>
      <c r="P51" s="26" t="inlineStr">
        <is>
          <t>As-is model sample (illustrative)</t>
        </is>
      </c>
      <c r="Q51" s="12" t="inlineStr">
        <is>
          <t>Finance</t>
        </is>
      </c>
      <c r="R51" s="12" t="inlineStr">
        <is>
          <t>General ledger</t>
        </is>
      </c>
      <c r="S51" s="12" t="inlineStr"/>
      <c r="T51" s="11" t="n"/>
    </row>
    <row r="52" ht="31" customHeight="1">
      <c r="A52" s="11" t="n">
        <v>4</v>
      </c>
      <c r="B52" s="12" t="inlineStr">
        <is>
          <t>mk_mail</t>
        </is>
      </c>
      <c r="C52" s="35" t="inlineStr">
        <is>
          <t xml:space="preserve">    Direct mail</t>
        </is>
      </c>
      <c r="D52" s="12" t="inlineStr">
        <is>
          <t>Print and online</t>
        </is>
      </c>
      <c r="E52" s="12" t="inlineStr"/>
      <c r="F52" s="12" t="inlineStr">
        <is>
          <t>currency</t>
        </is>
      </c>
      <c r="G52" s="26" t="inlineStr">
        <is>
          <t>Reference value</t>
        </is>
      </c>
      <c r="H52" s="30">
        <f>IF(G52="Validated actual",IF(I52="","",I52),IF(G52="Calculated",IF(J52="","",J52),IF(G52="Reference value",IF(K52="","",K52),IF(G52="Judgment",IF(L52="","",L52),""))))</f>
        <v/>
      </c>
      <c r="I52" s="31" t="n"/>
      <c r="J52" s="29" t="n"/>
      <c r="K52" s="31" t="n">
        <v>250000</v>
      </c>
      <c r="L52" s="31" t="n"/>
      <c r="M52" s="32">
        <f>IF(OR(L52="",H52="",G52="Judgment"),"",IFERROR(L52/H52-1,""))</f>
        <v/>
      </c>
      <c r="N52" s="31" t="n"/>
      <c r="O52" s="31" t="n"/>
      <c r="P52" s="26" t="inlineStr">
        <is>
          <t>As-is model sample (illustrative)</t>
        </is>
      </c>
      <c r="Q52" s="12" t="inlineStr">
        <is>
          <t>Finance</t>
        </is>
      </c>
      <c r="R52" s="12" t="inlineStr">
        <is>
          <t>General ledger</t>
        </is>
      </c>
      <c r="S52" s="12" t="inlineStr"/>
      <c r="T52" s="11" t="n"/>
    </row>
    <row r="53" ht="31" customHeight="1">
      <c r="A53" s="11" t="n">
        <v>4</v>
      </c>
      <c r="B53" s="12" t="inlineStr">
        <is>
          <t>mk_leadgen</t>
        </is>
      </c>
      <c r="C53" s="35" t="inlineStr">
        <is>
          <t xml:space="preserve">    Lead generation programs</t>
        </is>
      </c>
      <c r="D53" s="12" t="inlineStr">
        <is>
          <t>Telemarketing, SDR and BDR programs</t>
        </is>
      </c>
      <c r="E53" s="12" t="inlineStr"/>
      <c r="F53" s="12" t="inlineStr">
        <is>
          <t>currency</t>
        </is>
      </c>
      <c r="G53" s="26" t="inlineStr">
        <is>
          <t>Reference value</t>
        </is>
      </c>
      <c r="H53" s="30">
        <f>IF(G53="Validated actual",IF(I53="","",I53),IF(G53="Calculated",IF(J53="","",J53),IF(G53="Reference value",IF(K53="","",K53),IF(G53="Judgment",IF(L53="","",L53),""))))</f>
        <v/>
      </c>
      <c r="I53" s="31" t="n"/>
      <c r="J53" s="29" t="n"/>
      <c r="K53" s="31" t="n">
        <v>250000</v>
      </c>
      <c r="L53" s="31" t="n"/>
      <c r="M53" s="32">
        <f>IF(OR(L53="",H53="",G53="Judgment"),"",IFERROR(L53/H53-1,""))</f>
        <v/>
      </c>
      <c r="N53" s="31" t="n"/>
      <c r="O53" s="31" t="n"/>
      <c r="P53" s="26" t="inlineStr">
        <is>
          <t>As-is model sample (illustrative)</t>
        </is>
      </c>
      <c r="Q53" s="12" t="inlineStr">
        <is>
          <t>Finance</t>
        </is>
      </c>
      <c r="R53" s="12" t="inlineStr">
        <is>
          <t>General ledger</t>
        </is>
      </c>
      <c r="S53" s="12" t="inlineStr"/>
      <c r="T53" s="11" t="n"/>
    </row>
    <row r="54" ht="31" customHeight="1">
      <c r="A54" s="11" t="n">
        <v>4</v>
      </c>
      <c r="B54" s="12" t="inlineStr">
        <is>
          <t>mk_brand</t>
        </is>
      </c>
      <c r="C54" s="35" t="inlineStr">
        <is>
          <t xml:space="preserve">    Branding and public relations</t>
        </is>
      </c>
      <c r="D54" s="12" t="inlineStr">
        <is>
          <t>Identity, PR, consulting</t>
        </is>
      </c>
      <c r="E54" s="12" t="inlineStr"/>
      <c r="F54" s="12" t="inlineStr">
        <is>
          <t>currency</t>
        </is>
      </c>
      <c r="G54" s="26" t="inlineStr">
        <is>
          <t>Reference value</t>
        </is>
      </c>
      <c r="H54" s="30">
        <f>IF(G54="Validated actual",IF(I54="","",I54),IF(G54="Calculated",IF(J54="","",J54),IF(G54="Reference value",IF(K54="","",K54),IF(G54="Judgment",IF(L54="","",L54),""))))</f>
        <v/>
      </c>
      <c r="I54" s="31" t="n"/>
      <c r="J54" s="29" t="n"/>
      <c r="K54" s="31" t="n">
        <v>200000</v>
      </c>
      <c r="L54" s="31" t="n"/>
      <c r="M54" s="32">
        <f>IF(OR(L54="",H54="",G54="Judgment"),"",IFERROR(L54/H54-1,""))</f>
        <v/>
      </c>
      <c r="N54" s="31" t="n"/>
      <c r="O54" s="31" t="n"/>
      <c r="P54" s="26" t="inlineStr">
        <is>
          <t>As-is model sample (illustrative)</t>
        </is>
      </c>
      <c r="Q54" s="12" t="inlineStr">
        <is>
          <t>Finance</t>
        </is>
      </c>
      <c r="R54" s="12" t="inlineStr">
        <is>
          <t>General ledger</t>
        </is>
      </c>
      <c r="S54" s="12" t="inlineStr"/>
      <c r="T54" s="11" t="n"/>
    </row>
    <row r="55" ht="31" customHeight="1">
      <c r="A55" s="11" t="n">
        <v>4</v>
      </c>
      <c r="B55" s="12" t="inlineStr">
        <is>
          <t>mk_collateral</t>
        </is>
      </c>
      <c r="C55" s="35" t="inlineStr">
        <is>
          <t xml:space="preserve">    Collateral</t>
        </is>
      </c>
      <c r="D55" s="12" t="inlineStr">
        <is>
          <t>Sales tools, white papers, brochures, printing</t>
        </is>
      </c>
      <c r="E55" s="12" t="inlineStr"/>
      <c r="F55" s="12" t="inlineStr">
        <is>
          <t>currency</t>
        </is>
      </c>
      <c r="G55" s="26" t="inlineStr">
        <is>
          <t>Reference value</t>
        </is>
      </c>
      <c r="H55" s="30">
        <f>IF(G55="Validated actual",IF(I55="","",I55),IF(G55="Calculated",IF(J55="","",J55),IF(G55="Reference value",IF(K55="","",K55),IF(G55="Judgment",IF(L55="","",L55),""))))</f>
        <v/>
      </c>
      <c r="I55" s="31" t="n"/>
      <c r="J55" s="29" t="n"/>
      <c r="K55" s="31" t="n">
        <v>750000</v>
      </c>
      <c r="L55" s="31" t="n"/>
      <c r="M55" s="32">
        <f>IF(OR(L55="",H55="",G55="Judgment"),"",IFERROR(L55/H55-1,""))</f>
        <v/>
      </c>
      <c r="N55" s="31" t="n"/>
      <c r="O55" s="31" t="n"/>
      <c r="P55" s="26" t="inlineStr">
        <is>
          <t>As-is model sample (illustrative)</t>
        </is>
      </c>
      <c r="Q55" s="12" t="inlineStr">
        <is>
          <t>Finance</t>
        </is>
      </c>
      <c r="R55" s="12" t="inlineStr">
        <is>
          <t>General ledger</t>
        </is>
      </c>
      <c r="S55" s="12" t="inlineStr"/>
      <c r="T55" s="11" t="n"/>
    </row>
    <row r="56" ht="71.5" customHeight="1">
      <c r="A56" s="11" t="n">
        <v>4</v>
      </c>
      <c r="B56" s="12" t="inlineStr">
        <is>
          <t>marketing</t>
        </is>
      </c>
      <c r="C56" s="22" t="inlineStr">
        <is>
          <t>Marketing</t>
        </is>
      </c>
      <c r="D56" s="12" t="inlineStr">
        <is>
          <t>Investment the company makes to help drive revenue</t>
        </is>
      </c>
      <c r="E56" s="12"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F56" s="12" t="inlineStr">
        <is>
          <t>currency</t>
        </is>
      </c>
      <c r="G56" s="26" t="inlineStr">
        <is>
          <t>Calculated</t>
        </is>
      </c>
      <c r="H56" s="30">
        <f>IF(G56="Validated actual",IF(I56="","",I56),IF(G56="Calculated",IF(J56="","",J56),IF(G56="Reference value",IF(K56="","",K56),IF(G56="Judgment",IF(L56="","",L56),""))))</f>
        <v/>
      </c>
      <c r="I56" s="31" t="n"/>
      <c r="J56" s="39">
        <f>IFERROR(v_mk_people+v_mk_web+v_mk_events+v_mk_ads+v_mk_mail+v_mk_leadgen+v_mk_brand+v_mk_collateral,"")</f>
        <v/>
      </c>
      <c r="K56" s="31" t="n"/>
      <c r="L56" s="31" t="n"/>
      <c r="M56" s="32">
        <f>IF(OR(L56="",H56="",G56="Judgment"),"",IFERROR(L56/H56-1,""))</f>
        <v/>
      </c>
      <c r="N56" s="31" t="n"/>
      <c r="O56" s="31" t="n"/>
      <c r="P56" s="26" t="inlineStr"/>
      <c r="Q56" s="12" t="inlineStr">
        <is>
          <t>Finance</t>
        </is>
      </c>
      <c r="R56" s="12" t="inlineStr">
        <is>
          <t>Sum of the lines above</t>
        </is>
      </c>
      <c r="S56" s="12" t="inlineStr">
        <is>
          <t>Ledger total differs</t>
        </is>
      </c>
      <c r="T56" s="11" t="n">
        <v>12</v>
      </c>
    </row>
    <row r="57" ht="17.5" customHeight="1">
      <c r="A57" s="11" t="n">
        <v>4</v>
      </c>
      <c r="B57" s="12" t="inlineStr">
        <is>
          <t>commissions_paid</t>
        </is>
      </c>
      <c r="C57" s="35" t="inlineStr">
        <is>
          <t xml:space="preserve">    Commissions paid to quota salespeople</t>
        </is>
      </c>
      <c r="D57" s="12" t="inlineStr">
        <is>
          <t>Commission expense for the period</t>
        </is>
      </c>
      <c r="E57" s="12" t="inlineStr"/>
      <c r="F57" s="12" t="inlineStr">
        <is>
          <t>currency</t>
        </is>
      </c>
      <c r="G57" s="26" t="inlineStr">
        <is>
          <t>Validated actual</t>
        </is>
      </c>
      <c r="H57" s="30">
        <f>IF(G57="Validated actual",IF(I57="","",I57),IF(G57="Calculated",IF(J57="","",J57),IF(G57="Reference value",IF(K57="","",K57),IF(G57="Judgment",IF(L57="","",L57),""))))</f>
        <v/>
      </c>
      <c r="I57" s="31" t="n"/>
      <c r="J57" s="29" t="n"/>
      <c r="K57" s="31" t="n"/>
      <c r="L57" s="31" t="n"/>
      <c r="M57" s="32">
        <f>IF(OR(L57="",H57="",G57="Judgment"),"",IFERROR(L57/H57-1,""))</f>
        <v/>
      </c>
      <c r="N57" s="31" t="n"/>
      <c r="O57" s="31" t="n"/>
      <c r="P57" s="26" t="inlineStr"/>
      <c r="Q57" s="12" t="inlineStr">
        <is>
          <t>Finance</t>
        </is>
      </c>
      <c r="R57" s="12" t="inlineStr">
        <is>
          <t>General ledger</t>
        </is>
      </c>
      <c r="S57" s="12" t="inlineStr"/>
      <c r="T57" s="11" t="n"/>
    </row>
    <row r="58" ht="31" customHeight="1">
      <c r="A58" s="11" t="n">
        <v>4</v>
      </c>
      <c r="B58" s="12" t="inlineStr">
        <is>
          <t>sales_comp_expense</t>
        </is>
      </c>
      <c r="C58" s="22" t="inlineStr">
        <is>
          <t>Quota salesperson compensation in the ledger</t>
        </is>
      </c>
      <c r="D58" s="12" t="inlineStr">
        <is>
          <t>Salaries, benefits and commissions of quota-carrying salespeople</t>
        </is>
      </c>
      <c r="E58" s="12" t="inlineStr"/>
      <c r="F58" s="12" t="inlineStr">
        <is>
          <t>currency</t>
        </is>
      </c>
      <c r="G58" s="26" t="inlineStr">
        <is>
          <t>Validated actual</t>
        </is>
      </c>
      <c r="H58" s="30">
        <f>IF(G58="Validated actual",IF(I58="","",I58),IF(G58="Calculated",IF(J58="","",J58),IF(G58="Reference value",IF(K58="","",K58),IF(G58="Judgment",IF(L58="","",L58),""))))</f>
        <v/>
      </c>
      <c r="I58" s="31" t="n"/>
      <c r="J58" s="29" t="n"/>
      <c r="K58" s="31" t="n"/>
      <c r="L58" s="31" t="n"/>
      <c r="M58" s="32">
        <f>IF(OR(L58="",H58="",G58="Judgment"),"",IFERROR(L58/H58-1,""))</f>
        <v/>
      </c>
      <c r="N58" s="31" t="n"/>
      <c r="O58" s="31" t="n"/>
      <c r="P58" s="26" t="inlineStr"/>
      <c r="Q58" s="12" t="inlineStr">
        <is>
          <t>Finance</t>
        </is>
      </c>
      <c r="R58" s="12" t="inlineStr">
        <is>
          <t>General ledger</t>
        </is>
      </c>
      <c r="S58" s="12" t="inlineStr">
        <is>
          <t>Used by the compensation cross-check</t>
        </is>
      </c>
      <c r="T58" s="11" t="n">
        <v>12</v>
      </c>
    </row>
    <row r="59">
      <c r="A59" s="20" t="inlineStr">
        <is>
          <t>Step 5. Salesperson roster  ·  Owner: HR</t>
        </is>
      </c>
      <c r="B59" s="21" t="n"/>
      <c r="C59" s="21" t="n"/>
      <c r="D59" s="21" t="n"/>
      <c r="E59" s="21" t="n"/>
      <c r="F59" s="21" t="n"/>
      <c r="G59" s="21" t="n"/>
      <c r="H59" s="21" t="n"/>
      <c r="I59" s="21" t="n"/>
      <c r="J59" s="21" t="n"/>
      <c r="K59" s="21" t="n"/>
      <c r="L59" s="21" t="n"/>
      <c r="M59" s="21" t="n"/>
      <c r="N59" s="21" t="n"/>
      <c r="O59" s="21" t="n"/>
      <c r="P59" s="21" t="n"/>
      <c r="Q59" s="21" t="n"/>
      <c r="R59" s="21" t="n"/>
      <c r="S59" s="21" t="n"/>
      <c r="T59" s="21" t="n"/>
    </row>
    <row r="60" ht="31" customHeight="1">
      <c r="A60" s="11" t="n">
        <v>5</v>
      </c>
      <c r="B60" s="12" t="inlineStr">
        <is>
          <t>filled_seats</t>
        </is>
      </c>
      <c r="C60" s="22" t="inlineStr">
        <is>
          <t>Quota-carrying salespeople at period end</t>
        </is>
      </c>
      <c r="D60" s="12" t="inlineStr">
        <is>
          <t>People employed in quota-carrying roles</t>
        </is>
      </c>
      <c r="E60" s="12" t="inlineStr"/>
      <c r="F60" s="12" t="inlineStr">
        <is>
          <t>count</t>
        </is>
      </c>
      <c r="G60" s="26" t="inlineStr">
        <is>
          <t>Validated actual</t>
        </is>
      </c>
      <c r="H60" s="33">
        <f>IF(G60="Validated actual",IF(I60="","",I60),IF(G60="Calculated",IF(J60="","",J60),IF(G60="Reference value",IF(K60="","",K60),IF(G60="Judgment",IF(L60="","",L60),""))))</f>
        <v/>
      </c>
      <c r="I60" s="34" t="n"/>
      <c r="J60" s="29" t="n"/>
      <c r="K60" s="34" t="n"/>
      <c r="L60" s="34" t="n"/>
      <c r="M60" s="32">
        <f>IF(OR(L60="",H60="",G60="Judgment"),"",IFERROR(L60/H60-1,""))</f>
        <v/>
      </c>
      <c r="N60" s="34" t="n"/>
      <c r="O60" s="34" t="n"/>
      <c r="P60" s="26" t="inlineStr"/>
      <c r="Q60" s="12" t="inlineStr">
        <is>
          <t>HR</t>
        </is>
      </c>
      <c r="R60" s="12" t="inlineStr">
        <is>
          <t>HR roster export</t>
        </is>
      </c>
      <c r="S60" s="12" t="inlineStr">
        <is>
          <t>Territory plan shows a different number of filled territories</t>
        </is>
      </c>
      <c r="T60" s="11" t="n">
        <v>10</v>
      </c>
    </row>
    <row r="61" ht="17.5" customHeight="1">
      <c r="A61" s="11" t="n">
        <v>5</v>
      </c>
      <c r="B61" s="12" t="inlineStr">
        <is>
          <t>hires</t>
        </is>
      </c>
      <c r="C61" s="35" t="inlineStr">
        <is>
          <t xml:space="preserve">    Salespeople hired in the period</t>
        </is>
      </c>
      <c r="D61" s="12" t="inlineStr">
        <is>
          <t>Quota-carrying hires</t>
        </is>
      </c>
      <c r="E61" s="12" t="inlineStr"/>
      <c r="F61" s="12" t="inlineStr">
        <is>
          <t>count</t>
        </is>
      </c>
      <c r="G61" s="26" t="inlineStr">
        <is>
          <t>Validated actual</t>
        </is>
      </c>
      <c r="H61" s="33">
        <f>IF(G61="Validated actual",IF(I61="","",I61),IF(G61="Calculated",IF(J61="","",J61),IF(G61="Reference value",IF(K61="","",K61),IF(G61="Judgment",IF(L61="","",L61),""))))</f>
        <v/>
      </c>
      <c r="I61" s="34" t="n"/>
      <c r="J61" s="29" t="n"/>
      <c r="K61" s="34" t="n"/>
      <c r="L61" s="34" t="n"/>
      <c r="M61" s="32">
        <f>IF(OR(L61="",H61="",G61="Judgment"),"",IFERROR(L61/H61-1,""))</f>
        <v/>
      </c>
      <c r="N61" s="34" t="n"/>
      <c r="O61" s="34" t="n"/>
      <c r="P61" s="26" t="inlineStr"/>
      <c r="Q61" s="12" t="inlineStr">
        <is>
          <t>HR</t>
        </is>
      </c>
      <c r="R61" s="12" t="inlineStr">
        <is>
          <t>HR roster export</t>
        </is>
      </c>
      <c r="S61" s="12" t="inlineStr"/>
      <c r="T61" s="11" t="n">
        <v>10</v>
      </c>
    </row>
    <row r="62" ht="17.5" customHeight="1">
      <c r="A62" s="11" t="n">
        <v>5</v>
      </c>
      <c r="B62" s="12" t="inlineStr">
        <is>
          <t>departures</t>
        </is>
      </c>
      <c r="C62" s="35" t="inlineStr">
        <is>
          <t xml:space="preserve">    Salespeople who left in the period</t>
        </is>
      </c>
      <c r="D62" s="12" t="inlineStr">
        <is>
          <t>Quota-carrying departures</t>
        </is>
      </c>
      <c r="E62" s="12" t="inlineStr"/>
      <c r="F62" s="12" t="inlineStr">
        <is>
          <t>count</t>
        </is>
      </c>
      <c r="G62" s="26" t="inlineStr">
        <is>
          <t>Validated actual</t>
        </is>
      </c>
      <c r="H62" s="33">
        <f>IF(G62="Validated actual",IF(I62="","",I62),IF(G62="Calculated",IF(J62="","",J62),IF(G62="Reference value",IF(K62="","",K62),IF(G62="Judgment",IF(L62="","",L62),""))))</f>
        <v/>
      </c>
      <c r="I62" s="34" t="n"/>
      <c r="J62" s="29" t="n"/>
      <c r="K62" s="34" t="n"/>
      <c r="L62" s="34" t="n"/>
      <c r="M62" s="32">
        <f>IF(OR(L62="",H62="",G62="Judgment"),"",IFERROR(L62/H62-1,""))</f>
        <v/>
      </c>
      <c r="N62" s="34" t="n"/>
      <c r="O62" s="34" t="n"/>
      <c r="P62" s="26" t="inlineStr"/>
      <c r="Q62" s="12" t="inlineStr">
        <is>
          <t>HR</t>
        </is>
      </c>
      <c r="R62" s="12" t="inlineStr">
        <is>
          <t>HR roster export</t>
        </is>
      </c>
      <c r="S62" s="12" t="inlineStr"/>
      <c r="T62" s="11" t="n">
        <v>10</v>
      </c>
    </row>
    <row r="63" ht="58" customHeight="1">
      <c r="A63" s="11" t="n">
        <v>5</v>
      </c>
      <c r="B63" s="12" t="inlineStr">
        <is>
          <t>productive_salespeople</t>
        </is>
      </c>
      <c r="C63" s="22" t="inlineStr">
        <is>
          <t>Productive (ramped) salespeople</t>
        </is>
      </c>
      <c r="D63" s="12" t="inlineStr">
        <is>
          <t>Salespeople working at full productivity on average. Calculated: filled seats − hires × share of year spent ramping</t>
        </is>
      </c>
      <c r="E63" s="12" t="inlineStr"/>
      <c r="F63" s="12" t="inlineStr">
        <is>
          <t>count1</t>
        </is>
      </c>
      <c r="G63" s="26" t="inlineStr">
        <is>
          <t>Calculated</t>
        </is>
      </c>
      <c r="H63" s="40">
        <f>IF(G63="Validated actual",IF(I63="","",I63),IF(G63="Calculated",IF(J63="","",J63),IF(G63="Reference value",IF(K63="","",K63),IF(G63="Judgment",IF(L63="","",L63),""))))</f>
        <v/>
      </c>
      <c r="I63" s="41" t="n"/>
      <c r="J63" s="42">
        <f>IFERROR(MAX(0,v_filled_seats-v_hires*MIN(1,v_ramp_months/12)),"")</f>
        <v/>
      </c>
      <c r="K63" s="41" t="n"/>
      <c r="L63" s="41" t="n"/>
      <c r="M63" s="32">
        <f>IF(OR(L63="",H63="",G63="Judgment"),"",IFERROR(L63/H63-1,""))</f>
        <v/>
      </c>
      <c r="N63" s="41" t="n"/>
      <c r="O63" s="41" t="n"/>
      <c r="P63" s="26" t="inlineStr"/>
      <c r="Q63" s="12" t="inlineStr">
        <is>
          <t>HR</t>
        </is>
      </c>
      <c r="R63" s="12" t="inlineStr">
        <is>
          <t>Roster with start dates</t>
        </is>
      </c>
      <c r="S63" s="12" t="inlineStr">
        <is>
          <t>Productivity by tenure shows a different ramp</t>
        </is>
      </c>
      <c r="T63" s="11" t="n">
        <v>10</v>
      </c>
    </row>
    <row r="64">
      <c r="A64" s="20" t="inlineStr">
        <is>
          <t>Step 6. Territory plan  ·  Owner: Sales Operations</t>
        </is>
      </c>
      <c r="B64" s="21" t="n"/>
      <c r="C64" s="21" t="n"/>
      <c r="D64" s="21" t="n"/>
      <c r="E64" s="21" t="n"/>
      <c r="F64" s="21" t="n"/>
      <c r="G64" s="21" t="n"/>
      <c r="H64" s="21" t="n"/>
      <c r="I64" s="21" t="n"/>
      <c r="J64" s="21" t="n"/>
      <c r="K64" s="21" t="n"/>
      <c r="L64" s="21" t="n"/>
      <c r="M64" s="21" t="n"/>
      <c r="N64" s="21" t="n"/>
      <c r="O64" s="21" t="n"/>
      <c r="P64" s="21" t="n"/>
      <c r="Q64" s="21" t="n"/>
      <c r="R64" s="21" t="n"/>
      <c r="S64" s="21" t="n"/>
      <c r="T64" s="21" t="n"/>
    </row>
    <row r="65" ht="58" customHeight="1">
      <c r="A65" s="11" t="n">
        <v>6</v>
      </c>
      <c r="B65" s="12" t="inlineStr">
        <is>
          <t>territory_count</t>
        </is>
      </c>
      <c r="C65" s="22" t="inlineStr">
        <is>
          <t>Funded territories</t>
        </is>
      </c>
      <c r="D65" s="12" t="inlineStr">
        <is>
          <t>Territories the company has decided to fund, filled or open. A territory is a design choice, not a person</t>
        </is>
      </c>
      <c r="E65" s="12" t="inlineStr">
        <is>
          <t>Enter the number of open sales territories you had last year. This is not based on individual people, so if someone has left the company, but the territory is still open, count that as a sales territory.</t>
        </is>
      </c>
      <c r="F65" s="12" t="inlineStr">
        <is>
          <t>count</t>
        </is>
      </c>
      <c r="G65" s="26" t="inlineStr">
        <is>
          <t>Reference value</t>
        </is>
      </c>
      <c r="H65" s="33">
        <f>IF(G65="Validated actual",IF(I65="","",I65),IF(G65="Calculated",IF(J65="","",J65),IF(G65="Reference value",IF(K65="","",K65),IF(G65="Judgment",IF(L65="","",L65),""))))</f>
        <v/>
      </c>
      <c r="I65" s="34" t="n"/>
      <c r="J65" s="29" t="n"/>
      <c r="K65" s="34" t="n">
        <v>100</v>
      </c>
      <c r="L65" s="34" t="n"/>
      <c r="M65" s="32">
        <f>IF(OR(L65="",H65="",G65="Judgment"),"",IFERROR(L65/H65-1,""))</f>
        <v/>
      </c>
      <c r="N65" s="34" t="n"/>
      <c r="O65" s="34" t="n"/>
      <c r="P65" s="26" t="inlineStr">
        <is>
          <t>As-is model sample (illustrative)</t>
        </is>
      </c>
      <c r="Q65" s="12" t="inlineStr">
        <is>
          <t>Sales Operations</t>
        </is>
      </c>
      <c r="R65" s="12" t="inlineStr">
        <is>
          <t>Territory plan</t>
        </is>
      </c>
      <c r="S65" s="12" t="inlineStr">
        <is>
          <t>Filled + open territories differ from this count</t>
        </is>
      </c>
      <c r="T65" s="11" t="n">
        <v>10</v>
      </c>
    </row>
    <row r="66" ht="31" customHeight="1">
      <c r="A66" s="11" t="n">
        <v>6</v>
      </c>
      <c r="B66" s="12" t="inlineStr">
        <is>
          <t>open_territories</t>
        </is>
      </c>
      <c r="C66" s="22" t="inlineStr">
        <is>
          <t>Open territories at period end</t>
        </is>
      </c>
      <c r="D66" s="12" t="inlineStr">
        <is>
          <t>Funded territories with no salesperson assigned</t>
        </is>
      </c>
      <c r="E66" s="12" t="inlineStr"/>
      <c r="F66" s="12" t="inlineStr">
        <is>
          <t>count</t>
        </is>
      </c>
      <c r="G66" s="26" t="inlineStr">
        <is>
          <t>Validated actual</t>
        </is>
      </c>
      <c r="H66" s="33">
        <f>IF(G66="Validated actual",IF(I66="","",I66),IF(G66="Calculated",IF(J66="","",J66),IF(G66="Reference value",IF(K66="","",K66),IF(G66="Judgment",IF(L66="","",L66),""))))</f>
        <v/>
      </c>
      <c r="I66" s="34" t="n"/>
      <c r="J66" s="29" t="n"/>
      <c r="K66" s="34" t="n"/>
      <c r="L66" s="34" t="n"/>
      <c r="M66" s="32">
        <f>IF(OR(L66="",H66="",G66="Judgment"),"",IFERROR(L66/H66-1,""))</f>
        <v/>
      </c>
      <c r="N66" s="34" t="n"/>
      <c r="O66" s="34" t="n"/>
      <c r="P66" s="26" t="inlineStr"/>
      <c r="Q66" s="12" t="inlineStr">
        <is>
          <t>Sales Operations</t>
        </is>
      </c>
      <c r="R66" s="12" t="inlineStr">
        <is>
          <t>Territory plan</t>
        </is>
      </c>
      <c r="S66" s="12" t="inlineStr">
        <is>
          <t>Roster and plan disagree</t>
        </is>
      </c>
      <c r="T66" s="11" t="n">
        <v>10</v>
      </c>
    </row>
    <row r="67" ht="31" customHeight="1">
      <c r="A67" s="11" t="n">
        <v>6</v>
      </c>
      <c r="B67" s="12" t="inlineStr">
        <is>
          <t>expected_yield</t>
        </is>
      </c>
      <c r="C67" s="22" t="inlineStr">
        <is>
          <t>Expected yield per territory (average)</t>
        </is>
      </c>
      <c r="D67" s="12" t="inlineStr">
        <is>
          <t>Revenue a filled, ramped territory is expected to produce in a year</t>
        </is>
      </c>
      <c r="E67" s="12" t="inlineStr"/>
      <c r="F67" s="12" t="inlineStr">
        <is>
          <t>currency</t>
        </is>
      </c>
      <c r="G67" s="26" t="inlineStr">
        <is>
          <t>Validated actual</t>
        </is>
      </c>
      <c r="H67" s="30">
        <f>IF(G67="Validated actual",IF(I67="","",I67),IF(G67="Calculated",IF(J67="","",J67),IF(G67="Reference value",IF(K67="","",K67),IF(G67="Judgment",IF(L67="","",L67),""))))</f>
        <v/>
      </c>
      <c r="I67" s="31" t="n"/>
      <c r="J67" s="39">
        <f>IFERROR(v_plan_target/v_territory_count,"")</f>
        <v/>
      </c>
      <c r="K67" s="31" t="n"/>
      <c r="L67" s="31" t="n"/>
      <c r="M67" s="32">
        <f>IF(OR(L67="",H67="",G67="Judgment"),"",IFERROR(L67/H67-1,""))</f>
        <v/>
      </c>
      <c r="N67" s="31" t="n"/>
      <c r="O67" s="31" t="n"/>
      <c r="P67" s="26" t="inlineStr"/>
      <c r="Q67" s="12" t="inlineStr">
        <is>
          <t>Sales Operations</t>
        </is>
      </c>
      <c r="R67" s="12" t="inlineStr">
        <is>
          <t>Territory plan or quota letters</t>
        </is>
      </c>
      <c r="S67" s="12" t="inlineStr">
        <is>
          <t>Territories × expected yield differs from the plan</t>
        </is>
      </c>
      <c r="T67" s="11" t="n">
        <v>3</v>
      </c>
    </row>
    <row r="68">
      <c r="A68" s="20" t="inlineStr">
        <is>
          <t>Step 7. CRM exports  ·  Owner: Sales Operations</t>
        </is>
      </c>
      <c r="B68" s="21" t="n"/>
      <c r="C68" s="21" t="n"/>
      <c r="D68" s="21" t="n"/>
      <c r="E68" s="21" t="n"/>
      <c r="F68" s="21" t="n"/>
      <c r="G68" s="21" t="n"/>
      <c r="H68" s="21" t="n"/>
      <c r="I68" s="21" t="n"/>
      <c r="J68" s="21" t="n"/>
      <c r="K68" s="21" t="n"/>
      <c r="L68" s="21" t="n"/>
      <c r="M68" s="21" t="n"/>
      <c r="N68" s="21" t="n"/>
      <c r="O68" s="21" t="n"/>
      <c r="P68" s="21" t="n"/>
      <c r="Q68" s="21" t="n"/>
      <c r="R68" s="21" t="n"/>
      <c r="S68" s="21" t="n"/>
      <c r="T68" s="21" t="n"/>
    </row>
    <row r="69" ht="17.5" customHeight="1">
      <c r="A69" s="11" t="n">
        <v>7</v>
      </c>
      <c r="B69" s="12" t="inlineStr">
        <is>
          <t>opps_won</t>
        </is>
      </c>
      <c r="C69" s="35" t="inlineStr">
        <is>
          <t xml:space="preserve">    Qualified opportunities won</t>
        </is>
      </c>
      <c r="D69" s="12" t="inlineStr">
        <is>
          <t>Closed as won in the period</t>
        </is>
      </c>
      <c r="E69" s="12" t="inlineStr"/>
      <c r="F69" s="12" t="inlineStr">
        <is>
          <t>count</t>
        </is>
      </c>
      <c r="G69" s="26" t="inlineStr">
        <is>
          <t>Validated actual</t>
        </is>
      </c>
      <c r="H69" s="33">
        <f>IF(G69="Validated actual",IF(I69="","",I69),IF(G69="Calculated",IF(J69="","",J69),IF(G69="Reference value",IF(K69="","",K69),IF(G69="Judgment",IF(L69="","",L69),""))))</f>
        <v/>
      </c>
      <c r="I69" s="34" t="n"/>
      <c r="J69" s="29" t="n"/>
      <c r="K69" s="34" t="n"/>
      <c r="L69" s="34" t="n"/>
      <c r="M69" s="32">
        <f>IF(OR(L69="",H69="",G69="Judgment"),"",IFERROR(L69/H69-1,""))</f>
        <v/>
      </c>
      <c r="N69" s="34" t="n"/>
      <c r="O69" s="34" t="n"/>
      <c r="P69" s="26" t="inlineStr"/>
      <c r="Q69" s="12" t="inlineStr">
        <is>
          <t>Sales Operations</t>
        </is>
      </c>
      <c r="R69" s="12" t="inlineStr">
        <is>
          <t>CRM closed-opportunity report</t>
        </is>
      </c>
      <c r="S69" s="12" t="inlineStr"/>
      <c r="T69" s="11" t="n"/>
    </row>
    <row r="70" ht="17.5" customHeight="1">
      <c r="A70" s="11" t="n">
        <v>7</v>
      </c>
      <c r="B70" s="12" t="inlineStr">
        <is>
          <t>opps_lost</t>
        </is>
      </c>
      <c r="C70" s="35" t="inlineStr">
        <is>
          <t xml:space="preserve">    Qualified opportunities lost</t>
        </is>
      </c>
      <c r="D70" s="12" t="inlineStr">
        <is>
          <t>Closed as lost in the period</t>
        </is>
      </c>
      <c r="E70" s="12" t="inlineStr"/>
      <c r="F70" s="12" t="inlineStr">
        <is>
          <t>count</t>
        </is>
      </c>
      <c r="G70" s="26" t="inlineStr">
        <is>
          <t>Validated actual</t>
        </is>
      </c>
      <c r="H70" s="33">
        <f>IF(G70="Validated actual",IF(I70="","",I70),IF(G70="Calculated",IF(J70="","",J70),IF(G70="Reference value",IF(K70="","",K70),IF(G70="Judgment",IF(L70="","",L70),""))))</f>
        <v/>
      </c>
      <c r="I70" s="34" t="n"/>
      <c r="J70" s="29" t="n"/>
      <c r="K70" s="34" t="n"/>
      <c r="L70" s="34" t="n"/>
      <c r="M70" s="32">
        <f>IF(OR(L70="",H70="",G70="Judgment"),"",IFERROR(L70/H70-1,""))</f>
        <v/>
      </c>
      <c r="N70" s="34" t="n"/>
      <c r="O70" s="34" t="n"/>
      <c r="P70" s="26" t="inlineStr"/>
      <c r="Q70" s="12" t="inlineStr">
        <is>
          <t>Sales Operations</t>
        </is>
      </c>
      <c r="R70" s="12" t="inlineStr">
        <is>
          <t>CRM closed-opportunity report</t>
        </is>
      </c>
      <c r="S70" s="12" t="inlineStr"/>
      <c r="T70" s="11" t="n"/>
    </row>
    <row r="71" ht="85" customHeight="1">
      <c r="A71" s="11" t="n">
        <v>7</v>
      </c>
      <c r="B71" s="12" t="inlineStr">
        <is>
          <t>win_rate</t>
        </is>
      </c>
      <c r="C71" s="22" t="inlineStr">
        <is>
          <t>Close rate</t>
        </is>
      </c>
      <c r="D71" s="12" t="inlineStr">
        <is>
          <t>Won ÷ (won + lost) qualified opportunities, by count</t>
        </is>
      </c>
      <c r="E71" s="12"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F71" s="12" t="inlineStr">
        <is>
          <t>ratio</t>
        </is>
      </c>
      <c r="G71" s="26" t="inlineStr">
        <is>
          <t>Reference value</t>
        </is>
      </c>
      <c r="H71" s="36">
        <f>IF(G71="Validated actual",IF(I71="","",I71),IF(G71="Calculated",IF(J71="","",J71),IF(G71="Reference value",IF(K71="","",K71),IF(G71="Judgment",IF(L71="","",L71),""))))</f>
        <v/>
      </c>
      <c r="I71" s="37" t="n"/>
      <c r="J71" s="38">
        <f>IFERROR(v_opps_won/(v_opps_won+v_opps_lost),"")</f>
        <v/>
      </c>
      <c r="K71" s="37" t="n">
        <v>0.25</v>
      </c>
      <c r="L71" s="37" t="n"/>
      <c r="M71" s="32">
        <f>IF(OR(L71="",H71="",G71="Judgment"),"",IFERROR(L71/H71-1,""))</f>
        <v/>
      </c>
      <c r="N71" s="37" t="n"/>
      <c r="O71" s="37" t="n"/>
      <c r="P71" s="26" t="inlineStr">
        <is>
          <t>As-is model sample (illustrative)</t>
        </is>
      </c>
      <c r="Q71" s="12" t="inlineStr">
        <is>
          <t>Sales Operations</t>
        </is>
      </c>
      <c r="R71" s="12" t="inlineStr">
        <is>
          <t>CRM closed-opportunity report</t>
        </is>
      </c>
      <c r="S71" s="12" t="inlineStr">
        <is>
          <t>CRM won ÷ (won + lost) differs</t>
        </is>
      </c>
      <c r="T71" s="11" t="n">
        <v>12</v>
      </c>
    </row>
    <row r="72" ht="112" customHeight="1">
      <c r="A72" s="11" t="n">
        <v>7</v>
      </c>
      <c r="B72" s="12" t="inlineStr">
        <is>
          <t>cycle_months</t>
        </is>
      </c>
      <c r="C72" s="22" t="inlineStr">
        <is>
          <t>Sales cycle (months)</t>
        </is>
      </c>
      <c r="D72" s="12" t="inlineStr">
        <is>
          <t>Median time from qualified opportunity to signature for won deals</t>
        </is>
      </c>
      <c r="E72" s="12"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F72" s="12" t="inlineStr">
        <is>
          <t>months</t>
        </is>
      </c>
      <c r="G72" s="26" t="inlineStr">
        <is>
          <t>Reference value</t>
        </is>
      </c>
      <c r="H72" s="43">
        <f>IF(G72="Validated actual",IF(I72="","",I72),IF(G72="Calculated",IF(J72="","",J72),IF(G72="Reference value",IF(K72="","",K72),IF(G72="Judgment",IF(L72="","",L72),""))))</f>
        <v/>
      </c>
      <c r="I72" s="44" t="n"/>
      <c r="J72" s="29" t="n"/>
      <c r="K72" s="44" t="n">
        <v>6</v>
      </c>
      <c r="L72" s="44" t="n"/>
      <c r="M72" s="32">
        <f>IF(OR(L72="",H72="",G72="Judgment"),"",IFERROR(L72/H72-1,""))</f>
        <v/>
      </c>
      <c r="N72" s="44" t="n"/>
      <c r="O72" s="44" t="n"/>
      <c r="P72" s="26" t="inlineStr">
        <is>
          <t>As-is model sample (illustrative)</t>
        </is>
      </c>
      <c r="Q72" s="12" t="inlineStr">
        <is>
          <t>Sales Operations</t>
        </is>
      </c>
      <c r="R72" s="12" t="inlineStr">
        <is>
          <t>CRM closed-opportunity report</t>
        </is>
      </c>
      <c r="S72" s="12" t="inlineStr">
        <is>
          <t>CRM median cycle differs; Little's Law check fails</t>
        </is>
      </c>
      <c r="T72" s="11" t="n">
        <v>9</v>
      </c>
    </row>
    <row r="73" ht="112" customHeight="1">
      <c r="A73" s="11" t="n">
        <v>7</v>
      </c>
      <c r="B73" s="12" t="inlineStr">
        <is>
          <t>deal_size</t>
        </is>
      </c>
      <c r="C73" s="22" t="inlineStr">
        <is>
          <t>Average revenue per contract</t>
        </is>
      </c>
      <c r="D73" s="12" t="inlineStr">
        <is>
          <t>Revenue ÷ contracts</t>
        </is>
      </c>
      <c r="E73" s="12"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F73" s="12" t="inlineStr">
        <is>
          <t>currency</t>
        </is>
      </c>
      <c r="G73" s="26" t="inlineStr">
        <is>
          <t>Reference value</t>
        </is>
      </c>
      <c r="H73" s="30">
        <f>IF(G73="Validated actual",IF(I73="","",I73),IF(G73="Calculated",IF(J73="","",J73),IF(G73="Reference value",IF(K73="","",K73),IF(G73="Judgment",IF(L73="","",L73),""))))</f>
        <v/>
      </c>
      <c r="I73" s="31" t="n"/>
      <c r="J73" s="39">
        <f>IFERROR(v_revenue/v_contracts,"")</f>
        <v/>
      </c>
      <c r="K73" s="31" t="n">
        <v>75000</v>
      </c>
      <c r="L73" s="31" t="n"/>
      <c r="M73" s="32">
        <f>IF(OR(L73="",H73="",G73="Judgment"),"",IFERROR(L73/H73-1,""))</f>
        <v/>
      </c>
      <c r="N73" s="31" t="n"/>
      <c r="O73" s="31" t="n"/>
      <c r="P73" s="26" t="inlineStr">
        <is>
          <t>Reference value from another client, chosen so the model fits companies of any size (as-is model)</t>
        </is>
      </c>
      <c r="Q73" s="12" t="inlineStr">
        <is>
          <t>Sales Operations</t>
        </is>
      </c>
      <c r="R73" s="12" t="inlineStr">
        <is>
          <t>Calculated from step 3</t>
        </is>
      </c>
      <c r="S73" s="12" t="inlineStr">
        <is>
          <t>Revenue ÷ contracts differs (deal size cross-check)</t>
        </is>
      </c>
      <c r="T73" s="11" t="n">
        <v>12</v>
      </c>
    </row>
    <row r="74" ht="31" customHeight="1">
      <c r="A74" s="11" t="n">
        <v>7</v>
      </c>
      <c r="B74" s="12" t="inlineStr">
        <is>
          <t>open_opps_total</t>
        </is>
      </c>
      <c r="C74" s="35" t="inlineStr">
        <is>
          <t xml:space="preserve">    Open qualified opportunities</t>
        </is>
      </c>
      <c r="D74" s="12" t="inlineStr">
        <is>
          <t>Average of month-end open qualified opportunities</t>
        </is>
      </c>
      <c r="E74" s="12" t="inlineStr"/>
      <c r="F74" s="12" t="inlineStr">
        <is>
          <t>count</t>
        </is>
      </c>
      <c r="G74" s="26" t="inlineStr">
        <is>
          <t>Validated actual</t>
        </is>
      </c>
      <c r="H74" s="33">
        <f>IF(G74="Validated actual",IF(I74="","",I74),IF(G74="Calculated",IF(J74="","",J74),IF(G74="Reference value",IF(K74="","",K74),IF(G74="Judgment",IF(L74="","",L74),""))))</f>
        <v/>
      </c>
      <c r="I74" s="34" t="n"/>
      <c r="J74" s="29" t="n"/>
      <c r="K74" s="34" t="n"/>
      <c r="L74" s="34" t="n"/>
      <c r="M74" s="32">
        <f>IF(OR(L74="",H74="",G74="Judgment"),"",IFERROR(L74/H74-1,""))</f>
        <v/>
      </c>
      <c r="N74" s="34" t="n"/>
      <c r="O74" s="34" t="n"/>
      <c r="P74" s="26" t="inlineStr"/>
      <c r="Q74" s="12" t="inlineStr">
        <is>
          <t>Sales Operations</t>
        </is>
      </c>
      <c r="R74" s="12" t="inlineStr">
        <is>
          <t>CRM month-end snapshots</t>
        </is>
      </c>
      <c r="S74" s="12" t="inlineStr"/>
      <c r="T74" s="11" t="n"/>
    </row>
    <row r="75" ht="31" customHeight="1">
      <c r="A75" s="11" t="n">
        <v>7</v>
      </c>
      <c r="B75" s="12" t="inlineStr">
        <is>
          <t>opportunities_load</t>
        </is>
      </c>
      <c r="C75" s="22" t="inlineStr">
        <is>
          <t>Opportunities each salesperson holds</t>
        </is>
      </c>
      <c r="D75" s="12" t="inlineStr">
        <is>
          <t>Open qualified opportunities ÷ salespeople</t>
        </is>
      </c>
      <c r="E75" s="12" t="inlineStr"/>
      <c r="F75" s="12" t="inlineStr">
        <is>
          <t>count1</t>
        </is>
      </c>
      <c r="G75" s="26" t="inlineStr">
        <is>
          <t>Calculated</t>
        </is>
      </c>
      <c r="H75" s="40">
        <f>IF(G75="Validated actual",IF(I75="","",I75),IF(G75="Calculated",IF(J75="","",J75),IF(G75="Reference value",IF(K75="","",K75),IF(G75="Judgment",IF(L75="","",L75),""))))</f>
        <v/>
      </c>
      <c r="I75" s="41" t="n"/>
      <c r="J75" s="42">
        <f>IFERROR(v_open_opps_total/v_filled_seats,"")</f>
        <v/>
      </c>
      <c r="K75" s="41" t="n"/>
      <c r="L75" s="41" t="n"/>
      <c r="M75" s="32">
        <f>IF(OR(L75="",H75="",G75="Judgment"),"",IFERROR(L75/H75-1,""))</f>
        <v/>
      </c>
      <c r="N75" s="41" t="n"/>
      <c r="O75" s="41" t="n"/>
      <c r="P75" s="26" t="inlineStr"/>
      <c r="Q75" s="12" t="inlineStr">
        <is>
          <t>Sales Operations</t>
        </is>
      </c>
      <c r="R75" s="12" t="inlineStr">
        <is>
          <t>Calculated from CRM snapshots and roster</t>
        </is>
      </c>
      <c r="S75" s="12" t="inlineStr">
        <is>
          <t>Little's Law check fails</t>
        </is>
      </c>
      <c r="T75" s="11" t="n">
        <v>11</v>
      </c>
    </row>
    <row r="76" ht="139" customHeight="1">
      <c r="A76" s="11" t="n">
        <v>7</v>
      </c>
      <c r="B76" s="12" t="inlineStr">
        <is>
          <t>opportunities_capacity</t>
        </is>
      </c>
      <c r="C76" s="22" t="inlineStr">
        <is>
          <t>Opportunities a salesperson can manage at once</t>
        </is>
      </c>
      <c r="D76" s="12" t="inlineStr">
        <is>
          <t>Most qualified opportunities a salesperson can hold and advance well at the same time</t>
        </is>
      </c>
      <c r="E76" s="12"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F76" s="12" t="inlineStr">
        <is>
          <t>count</t>
        </is>
      </c>
      <c r="G76" s="26" t="inlineStr">
        <is>
          <t>Reference value</t>
        </is>
      </c>
      <c r="H76" s="33">
        <f>IF(G76="Validated actual",IF(I76="","",I76),IF(G76="Calculated",IF(J76="","",J76),IF(G76="Reference value",IF(K76="","",K76),IF(G76="Judgment",IF(L76="","",L76),""))))</f>
        <v/>
      </c>
      <c r="I76" s="34" t="n"/>
      <c r="J76" s="29" t="n"/>
      <c r="K76" s="34" t="n">
        <v>30</v>
      </c>
      <c r="L76" s="34" t="n"/>
      <c r="M76" s="32">
        <f>IF(OR(L76="",H76="",G76="Judgment"),"",IFERROR(L76/H76-1,""))</f>
        <v/>
      </c>
      <c r="N76" s="34" t="n"/>
      <c r="O76" s="34" t="n"/>
      <c r="P76" s="26" t="inlineStr">
        <is>
          <t>As-is model sample (illustrative)</t>
        </is>
      </c>
      <c r="Q76" s="12" t="inlineStr">
        <is>
          <t>Sales Operations</t>
        </is>
      </c>
      <c r="R76" s="12" t="inlineStr">
        <is>
          <t>Sales leader judgment</t>
        </is>
      </c>
      <c r="S76" s="12" t="inlineStr">
        <is>
          <t>Win rate and cycle hold steady at loads above this level</t>
        </is>
      </c>
      <c r="T76" s="11" t="n">
        <v>12</v>
      </c>
    </row>
    <row r="77">
      <c r="A77" s="20" t="inlineStr">
        <is>
          <t>Step 8. Compensation plan  ·  Owner: Compensation</t>
        </is>
      </c>
      <c r="B77" s="21" t="n"/>
      <c r="C77" s="21" t="n"/>
      <c r="D77" s="21" t="n"/>
      <c r="E77" s="21" t="n"/>
      <c r="F77" s="21" t="n"/>
      <c r="G77" s="21" t="n"/>
      <c r="H77" s="21" t="n"/>
      <c r="I77" s="21" t="n"/>
      <c r="J77" s="21" t="n"/>
      <c r="K77" s="21" t="n"/>
      <c r="L77" s="21" t="n"/>
      <c r="M77" s="21" t="n"/>
      <c r="N77" s="21" t="n"/>
      <c r="O77" s="21" t="n"/>
      <c r="P77" s="21" t="n"/>
      <c r="Q77" s="21" t="n"/>
      <c r="R77" s="21" t="n"/>
      <c r="S77" s="21" t="n"/>
      <c r="T77" s="21" t="n"/>
    </row>
    <row r="78" ht="71.5" customHeight="1">
      <c r="A78" s="11" t="n">
        <v>8</v>
      </c>
      <c r="B78" s="12" t="inlineStr">
        <is>
          <t>commission_rate</t>
        </is>
      </c>
      <c r="C78" s="22" t="inlineStr">
        <is>
          <t>Commission rate</t>
        </is>
      </c>
      <c r="D78" s="12" t="inlineStr">
        <is>
          <t>Actual: the plan rate. Calculated: commissions paid ÷ revenue</t>
        </is>
      </c>
      <c r="E78" s="12" t="inlineStr">
        <is>
          <t>Commissions are the most logical and well understood driver of variable sales costs. Simply enter your sales forces average commission. Again, for simple analysis - just use an average. This model can be modified to accommodate your whole compensation plan.</t>
        </is>
      </c>
      <c r="F78" s="12" t="inlineStr">
        <is>
          <t>ratio</t>
        </is>
      </c>
      <c r="G78" s="26" t="inlineStr">
        <is>
          <t>Reference value</t>
        </is>
      </c>
      <c r="H78" s="36">
        <f>IF(G78="Validated actual",IF(I78="","",I78),IF(G78="Calculated",IF(J78="","",J78),IF(G78="Reference value",IF(K78="","",K78),IF(G78="Judgment",IF(L78="","",L78),""))))</f>
        <v/>
      </c>
      <c r="I78" s="37" t="n"/>
      <c r="J78" s="38">
        <f>IFERROR(v_commissions_paid/v_revenue,"")</f>
        <v/>
      </c>
      <c r="K78" s="37" t="n">
        <v>0.08</v>
      </c>
      <c r="L78" s="37" t="n"/>
      <c r="M78" s="32">
        <f>IF(OR(L78="",H78="",G78="Judgment"),"",IFERROR(L78/H78-1,""))</f>
        <v/>
      </c>
      <c r="N78" s="37" t="n"/>
      <c r="O78" s="37" t="n"/>
      <c r="P78" s="26" t="inlineStr">
        <is>
          <t>As-is model sample (illustrative)</t>
        </is>
      </c>
      <c r="Q78" s="12" t="inlineStr">
        <is>
          <t>Compensation</t>
        </is>
      </c>
      <c r="R78" s="12" t="inlineStr">
        <is>
          <t>Compensation plan</t>
        </is>
      </c>
      <c r="S78" s="12" t="inlineStr">
        <is>
          <t>Commissions paid ÷ revenue differs from the plan rate</t>
        </is>
      </c>
      <c r="T78" s="11" t="n">
        <v>5</v>
      </c>
    </row>
    <row r="79">
      <c r="A79" s="20" t="inlineStr">
        <is>
          <t>Step 9. Vacancy and hiring timeline  ·  Owner: HR and Finance</t>
        </is>
      </c>
      <c r="B79" s="21" t="n"/>
      <c r="C79" s="21" t="n"/>
      <c r="D79" s="21" t="n"/>
      <c r="E79" s="21" t="n"/>
      <c r="F79" s="21" t="n"/>
      <c r="G79" s="21" t="n"/>
      <c r="H79" s="21" t="n"/>
      <c r="I79" s="21" t="n"/>
      <c r="J79" s="21" t="n"/>
      <c r="K79" s="21" t="n"/>
      <c r="L79" s="21" t="n"/>
      <c r="M79" s="21" t="n"/>
      <c r="N79" s="21" t="n"/>
      <c r="O79" s="21" t="n"/>
      <c r="P79" s="21" t="n"/>
      <c r="Q79" s="21" t="n"/>
      <c r="R79" s="21" t="n"/>
      <c r="S79" s="21" t="n"/>
      <c r="T79" s="21" t="n"/>
    </row>
    <row r="80" ht="98.5" customHeight="1">
      <c r="A80" s="11" t="n">
        <v>9</v>
      </c>
      <c r="B80" s="12" t="inlineStr">
        <is>
          <t>ramp_months</t>
        </is>
      </c>
      <c r="C80" s="22" t="inlineStr">
        <is>
          <t>Ramp time (months)</t>
        </is>
      </c>
      <c r="D80" s="12" t="inlineStr">
        <is>
          <t>Months until a new salesperson reaches average productivity</t>
        </is>
      </c>
      <c r="E80" s="12"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F80" s="12" t="inlineStr">
        <is>
          <t>months</t>
        </is>
      </c>
      <c r="G80" s="26" t="inlineStr">
        <is>
          <t>Reference value</t>
        </is>
      </c>
      <c r="H80" s="43">
        <f>IF(G80="Validated actual",IF(I80="","",I80),IF(G80="Calculated",IF(J80="","",J80),IF(G80="Reference value",IF(K80="","",K80),IF(G80="Judgment",IF(L80="","",L80),""))))</f>
        <v/>
      </c>
      <c r="I80" s="44" t="n"/>
      <c r="J80" s="29" t="n"/>
      <c r="K80" s="44" t="n">
        <v>12</v>
      </c>
      <c r="L80" s="44" t="n"/>
      <c r="M80" s="32">
        <f>IF(OR(L80="",H80="",G80="Judgment"),"",IFERROR(L80/H80-1,""))</f>
        <v/>
      </c>
      <c r="N80" s="44" t="n"/>
      <c r="O80" s="44" t="n"/>
      <c r="P80" s="26" t="inlineStr">
        <is>
          <t>As-is model sample (illustrative)</t>
        </is>
      </c>
      <c r="Q80" s="12" t="inlineStr">
        <is>
          <t>HR and Finance</t>
        </is>
      </c>
      <c r="R80" s="12" t="inlineStr">
        <is>
          <t>Sales manager, or productivity by tenure</t>
        </is>
      </c>
      <c r="S80" s="12" t="inlineStr">
        <is>
          <t>New-hire productivity by month differs</t>
        </is>
      </c>
      <c r="T80" s="11" t="n">
        <v>9</v>
      </c>
    </row>
    <row r="81" ht="31" customHeight="1">
      <c r="A81" s="11" t="n">
        <v>9</v>
      </c>
      <c r="B81" s="12" t="inlineStr">
        <is>
          <t>time_to_fill_days</t>
        </is>
      </c>
      <c r="C81" s="22" t="inlineStr">
        <is>
          <t>Days to fill an open territory (average)</t>
        </is>
      </c>
      <c r="D81" s="12" t="inlineStr">
        <is>
          <t>From vacancy to the new salesperson's start date</t>
        </is>
      </c>
      <c r="E81" s="12" t="inlineStr"/>
      <c r="F81" s="12" t="inlineStr">
        <is>
          <t>days</t>
        </is>
      </c>
      <c r="G81" s="26" t="inlineStr">
        <is>
          <t>Validated actual</t>
        </is>
      </c>
      <c r="H81" s="33">
        <f>IF(G81="Validated actual",IF(I81="","",I81),IF(G81="Calculated",IF(J81="","",J81),IF(G81="Reference value",IF(K81="","",K81),IF(G81="Judgment",IF(L81="","",L81),""))))</f>
        <v/>
      </c>
      <c r="I81" s="34" t="n"/>
      <c r="J81" s="29" t="n"/>
      <c r="K81" s="34" t="n"/>
      <c r="L81" s="34" t="n"/>
      <c r="M81" s="32">
        <f>IF(OR(L81="",H81="",G81="Judgment"),"",IFERROR(L81/H81-1,""))</f>
        <v/>
      </c>
      <c r="N81" s="34" t="n"/>
      <c r="O81" s="34" t="n"/>
      <c r="P81" s="26" t="inlineStr"/>
      <c r="Q81" s="12" t="inlineStr">
        <is>
          <t>HR and Finance</t>
        </is>
      </c>
      <c r="R81" s="12" t="inlineStr">
        <is>
          <t>HR requisition records</t>
        </is>
      </c>
      <c r="S81" s="12" t="inlineStr">
        <is>
          <t>Vacancy records differ</t>
        </is>
      </c>
      <c r="T81" s="11" t="n">
        <v>9</v>
      </c>
    </row>
    <row r="82" ht="17.5" customHeight="1">
      <c r="A82" s="11" t="n">
        <v>9</v>
      </c>
      <c r="B82" s="12" t="inlineStr">
        <is>
          <t>approval_days</t>
        </is>
      </c>
      <c r="C82" s="22" t="inlineStr">
        <is>
          <t>Days to approve a requisition (average)</t>
        </is>
      </c>
      <c r="D82" s="12" t="inlineStr">
        <is>
          <t>From vacancy to approved requisition</t>
        </is>
      </c>
      <c r="E82" s="12" t="inlineStr"/>
      <c r="F82" s="12" t="inlineStr">
        <is>
          <t>days</t>
        </is>
      </c>
      <c r="G82" s="26" t="inlineStr">
        <is>
          <t>Validated actual</t>
        </is>
      </c>
      <c r="H82" s="33">
        <f>IF(G82="Validated actual",IF(I82="","",I82),IF(G82="Calculated",IF(J82="","",J82),IF(G82="Reference value",IF(K82="","",K82),IF(G82="Judgment",IF(L82="","",L82),""))))</f>
        <v/>
      </c>
      <c r="I82" s="34" t="n"/>
      <c r="J82" s="29" t="n"/>
      <c r="K82" s="34" t="n"/>
      <c r="L82" s="34" t="n"/>
      <c r="M82" s="32">
        <f>IF(OR(L82="",H82="",G82="Judgment"),"",IFERROR(L82/H82-1,""))</f>
        <v/>
      </c>
      <c r="N82" s="34" t="n"/>
      <c r="O82" s="34" t="n"/>
      <c r="P82" s="26" t="inlineStr"/>
      <c r="Q82" s="12" t="inlineStr">
        <is>
          <t>HR and Finance</t>
        </is>
      </c>
      <c r="R82" s="12" t="inlineStr">
        <is>
          <t>HR and Finance approval records</t>
        </is>
      </c>
      <c r="S82" s="12" t="inlineStr">
        <is>
          <t>Approval records differ</t>
        </is>
      </c>
      <c r="T82" s="11" t="n">
        <v>9</v>
      </c>
    </row>
    <row r="83">
      <c r="A83" s="20" t="inlineStr">
        <is>
          <t>Step 10. Rules and definitions  ·  Owner: Sales Operations and Finance</t>
        </is>
      </c>
      <c r="B83" s="21" t="n"/>
      <c r="C83" s="21" t="n"/>
      <c r="D83" s="21" t="n"/>
      <c r="E83" s="21" t="n"/>
      <c r="F83" s="21" t="n"/>
      <c r="G83" s="21" t="n"/>
      <c r="H83" s="21" t="n"/>
      <c r="I83" s="21" t="n"/>
      <c r="J83" s="21" t="n"/>
      <c r="K83" s="21" t="n"/>
      <c r="L83" s="21" t="n"/>
      <c r="M83" s="21" t="n"/>
      <c r="N83" s="21" t="n"/>
      <c r="O83" s="21" t="n"/>
      <c r="P83" s="21" t="n"/>
      <c r="Q83" s="21" t="n"/>
      <c r="R83" s="21" t="n"/>
      <c r="S83" s="21" t="n"/>
      <c r="T83" s="21" t="n"/>
    </row>
    <row r="84" ht="17.5" customHeight="1">
      <c r="A84" s="11" t="n">
        <v>10</v>
      </c>
      <c r="B84" s="12" t="inlineStr">
        <is>
          <t>qualification_definition</t>
        </is>
      </c>
      <c r="C84" s="22" t="inlineStr">
        <is>
          <t>When an opportunity counts as qualified</t>
        </is>
      </c>
      <c r="D84" s="12" t="inlineStr">
        <is>
          <t>The rule the CRM stage uses</t>
        </is>
      </c>
      <c r="E84" s="12" t="inlineStr"/>
      <c r="F84" s="12" t="inlineStr">
        <is>
          <t>text</t>
        </is>
      </c>
      <c r="G84" s="26" t="inlineStr">
        <is>
          <t>Validated actual</t>
        </is>
      </c>
      <c r="H84" s="27">
        <f>IF(G84="Validated actual",IF(I84="","",I84),IF(G84="Calculated",IF(J84="","",J84),IF(G84="Reference value",IF(K84="","",K84),IF(G84="Judgment",IF(L84="","",L84),""))))</f>
        <v/>
      </c>
      <c r="I84" s="28" t="n"/>
      <c r="J84" s="29" t="n"/>
      <c r="K84" s="28" t="n"/>
      <c r="L84" s="28" t="n"/>
      <c r="M84" s="12" t="n"/>
      <c r="N84" s="28" t="n"/>
      <c r="O84" s="28" t="n"/>
      <c r="P84" s="26" t="inlineStr"/>
      <c r="Q84" s="12" t="inlineStr">
        <is>
          <t>Sales Operations and Finance</t>
        </is>
      </c>
      <c r="R84" s="12" t="inlineStr">
        <is>
          <t>Sales Operations</t>
        </is>
      </c>
      <c r="S84" s="12" t="inlineStr">
        <is>
          <t>Qualified opportunities do not meet the stated rule</t>
        </is>
      </c>
      <c r="T84" s="11" t="n">
        <v>5</v>
      </c>
    </row>
    <row r="85" ht="31" customHeight="1">
      <c r="A85" s="11" t="n">
        <v>10</v>
      </c>
      <c r="B85" s="12" t="inlineStr">
        <is>
          <t>hiring_approval_rule</t>
        </is>
      </c>
      <c r="C85" s="22" t="inlineStr">
        <is>
          <t>Steps and approvers to fill a territory</t>
        </is>
      </c>
      <c r="D85" s="12" t="inlineStr">
        <is>
          <t>Who approves a requisition, in what order</t>
        </is>
      </c>
      <c r="E85" s="12" t="inlineStr"/>
      <c r="F85" s="12" t="inlineStr">
        <is>
          <t>text</t>
        </is>
      </c>
      <c r="G85" s="26" t="inlineStr">
        <is>
          <t>Validated actual</t>
        </is>
      </c>
      <c r="H85" s="27">
        <f>IF(G85="Validated actual",IF(I85="","",I85),IF(G85="Calculated",IF(J85="","",J85),IF(G85="Reference value",IF(K85="","",K85),IF(G85="Judgment",IF(L85="","",L85),""))))</f>
        <v/>
      </c>
      <c r="I85" s="28" t="n"/>
      <c r="J85" s="29" t="n"/>
      <c r="K85" s="28" t="n"/>
      <c r="L85" s="28" t="n"/>
      <c r="M85" s="12" t="n"/>
      <c r="N85" s="28" t="n"/>
      <c r="O85" s="28" t="n"/>
      <c r="P85" s="26" t="inlineStr"/>
      <c r="Q85" s="12" t="inlineStr">
        <is>
          <t>Sales Operations and Finance</t>
        </is>
      </c>
      <c r="R85" s="12" t="inlineStr">
        <is>
          <t>HR and Finance</t>
        </is>
      </c>
      <c r="S85" s="12" t="inlineStr">
        <is>
          <t>Approval records follow a different path</t>
        </is>
      </c>
      <c r="T85" s="11" t="n">
        <v>5</v>
      </c>
    </row>
    <row r="86" ht="31" customHeight="1">
      <c r="A86" s="11" t="n">
        <v>10</v>
      </c>
      <c r="B86" s="12" t="inlineStr">
        <is>
          <t>design_authority</t>
        </is>
      </c>
      <c r="C86" s="22" t="inlineStr">
        <is>
          <t>Who can change territory design or roles</t>
        </is>
      </c>
      <c r="D86" s="12" t="inlineStr">
        <is>
          <t>Who decides territories, coverage and roles</t>
        </is>
      </c>
      <c r="E86" s="12" t="inlineStr"/>
      <c r="F86" s="12" t="inlineStr">
        <is>
          <t>text</t>
        </is>
      </c>
      <c r="G86" s="26" t="inlineStr">
        <is>
          <t>Validated actual</t>
        </is>
      </c>
      <c r="H86" s="27">
        <f>IF(G86="Validated actual",IF(I86="","",I86),IF(G86="Calculated",IF(J86="","",J86),IF(G86="Reference value",IF(K86="","",K86),IF(G86="Judgment",IF(L86="","",L86),""))))</f>
        <v/>
      </c>
      <c r="I86" s="28" t="n"/>
      <c r="J86" s="29" t="n"/>
      <c r="K86" s="28" t="n"/>
      <c r="L86" s="28" t="n"/>
      <c r="M86" s="12" t="n"/>
      <c r="N86" s="28" t="n"/>
      <c r="O86" s="28" t="n"/>
      <c r="P86" s="26" t="inlineStr"/>
      <c r="Q86" s="12" t="inlineStr">
        <is>
          <t>Sales Operations and Finance</t>
        </is>
      </c>
      <c r="R86" s="12" t="inlineStr">
        <is>
          <t>Sponsor</t>
        </is>
      </c>
      <c r="S86" s="12" t="inlineStr">
        <is>
          <t>Changes were made by someone else</t>
        </is>
      </c>
      <c r="T86" s="11" t="n">
        <v>4</v>
      </c>
    </row>
    <row r="88">
      <c r="A88" s="20" t="inlineStr">
        <is>
          <t>Step 11. Reconcile and sign  ·  Owner: Finance lead  ·  For each check that needs review: fix an entry, explain the gap, or accept it as a known gap</t>
        </is>
      </c>
      <c r="B88" s="21" t="n"/>
      <c r="C88" s="21" t="n"/>
      <c r="D88" s="21" t="n"/>
      <c r="E88" s="21" t="n"/>
      <c r="F88" s="21" t="n"/>
      <c r="G88" s="21" t="n"/>
      <c r="H88" s="21" t="n"/>
      <c r="I88" s="21" t="n"/>
      <c r="J88" s="21" t="n"/>
      <c r="K88" s="21" t="n"/>
      <c r="L88" s="21" t="n"/>
      <c r="M88" s="21" t="n"/>
      <c r="N88" s="21" t="n"/>
      <c r="O88" s="21" t="n"/>
      <c r="P88" s="21" t="n"/>
      <c r="Q88" s="21" t="n"/>
      <c r="R88" s="21" t="n"/>
      <c r="S88" s="21" t="n"/>
      <c r="T88" s="21" t="n"/>
    </row>
    <row r="89" ht="30" customHeight="1">
      <c r="B89" s="19" t="inlineStr">
        <is>
          <t>Check ID</t>
        </is>
      </c>
      <c r="C89" s="19" t="inlineStr">
        <is>
          <t>Check</t>
        </is>
      </c>
      <c r="D89" s="19" t="inlineStr">
        <is>
          <t>What it compares</t>
        </is>
      </c>
      <c r="E89" s="19" t="inlineStr">
        <is>
          <t>Entries that could be wrong</t>
        </is>
      </c>
      <c r="F89" s="19" t="inlineStr">
        <is>
          <t>Tolerance</t>
        </is>
      </c>
      <c r="G89" s="19" t="inlineStr">
        <is>
          <t>Status</t>
        </is>
      </c>
      <c r="H89" s="19" t="inlineStr">
        <is>
          <t>Implied by entries</t>
        </is>
      </c>
      <c r="I89" s="19" t="inlineStr">
        <is>
          <t>Observed</t>
        </is>
      </c>
      <c r="J89" s="19" t="inlineStr">
        <is>
          <t>Gap</t>
        </is>
      </c>
      <c r="K89" s="19" t="inlineStr">
        <is>
          <t>Resolution</t>
        </is>
      </c>
      <c r="L89" s="19" t="inlineStr">
        <is>
          <t>Category</t>
        </is>
      </c>
      <c r="M89" s="19" t="inlineStr">
        <is>
          <t>Note</t>
        </is>
      </c>
    </row>
    <row r="90" ht="31" customHeight="1">
      <c r="B90" s="12" t="inlineStr">
        <is>
          <t>deal_size_triangulation</t>
        </is>
      </c>
      <c r="C90" s="22" t="inlineStr">
        <is>
          <t>Deal size</t>
        </is>
      </c>
      <c r="D90" s="12" t="inlineStr">
        <is>
          <t>Revenue ÷ contracts vs the deal size used</t>
        </is>
      </c>
      <c r="E90" s="12" t="inlineStr">
        <is>
          <t>Revenue, contracts, deal size</t>
        </is>
      </c>
      <c r="F90" s="45" t="n">
        <v>0.1</v>
      </c>
      <c r="G90" s="46">
        <f>IF(OR(H90="",I90=""),"NEEDS DATA",IF(ABS(J90)&lt;=F90,"PASS","REVIEW"))</f>
        <v/>
      </c>
      <c r="H90" s="39">
        <f>IFERROR(v_revenue/v_contracts,"")</f>
        <v/>
      </c>
      <c r="I90" s="39">
        <f>IF(v_deal_size="","",v_deal_size)</f>
        <v/>
      </c>
      <c r="J90" s="47">
        <f>IF(OR(H90="",I90=""),"",IFERROR(I90/H90-1,""))</f>
        <v/>
      </c>
      <c r="K90" s="15" t="n"/>
      <c r="L90" s="15" t="n"/>
      <c r="M90" s="15" t="n"/>
    </row>
    <row r="91" ht="31" customHeight="1">
      <c r="B91" s="12" t="inlineStr">
        <is>
          <t>contracts_implication</t>
        </is>
      </c>
      <c r="C91" s="22" t="inlineStr">
        <is>
          <t>Contracts implied</t>
        </is>
      </c>
      <c r="D91" s="12" t="inlineStr">
        <is>
          <t>Territories × capacity × 12 ÷ cycle × close rate vs contracts</t>
        </is>
      </c>
      <c r="E91" s="12" t="inlineStr">
        <is>
          <t>Territories, capacity, cycle, close rate</t>
        </is>
      </c>
      <c r="F91" s="45" t="n">
        <v>0.1</v>
      </c>
      <c r="G91" s="46">
        <f>IF(OR(H91="",I91=""),"NEEDS DATA",IF(ABS(J91)&lt;=F91,"PASS","REVIEW"))</f>
        <v/>
      </c>
      <c r="H91" s="48">
        <f>IFERROR(v_territory_count*v_opportunities_capacity*12/v_cycle_months*v_win_rate,"")</f>
        <v/>
      </c>
      <c r="I91" s="48">
        <f>IF(v_contracts="","",v_contracts)</f>
        <v/>
      </c>
      <c r="J91" s="47">
        <f>IF(OR(H91="",I91=""),"",IFERROR(I91/H91-1,""))</f>
        <v/>
      </c>
      <c r="K91" s="15" t="n"/>
      <c r="L91" s="15" t="n"/>
      <c r="M91" s="15" t="n"/>
    </row>
    <row r="92" ht="31" customHeight="1">
      <c r="B92" s="12" t="inlineStr">
        <is>
          <t>revenue_implication</t>
        </is>
      </c>
      <c r="C92" s="22" t="inlineStr">
        <is>
          <t>Revenue implied</t>
        </is>
      </c>
      <c r="D92" s="12" t="inlineStr">
        <is>
          <t>Implied contracts × deal size vs revenue</t>
        </is>
      </c>
      <c r="E92" s="12" t="inlineStr">
        <is>
          <t>Territories, capacity, cycle, close rate, deal size</t>
        </is>
      </c>
      <c r="F92" s="45" t="n">
        <v>0.1</v>
      </c>
      <c r="G92" s="46">
        <f>IF(OR(H92="",I92=""),"NEEDS DATA",IF(ABS(J92)&lt;=F92,"PASS","REVIEW"))</f>
        <v/>
      </c>
      <c r="H92" s="39">
        <f>IFERROR(v_territory_count*v_opportunities_capacity*12/v_cycle_months*v_win_rate*v_deal_size,"")</f>
        <v/>
      </c>
      <c r="I92" s="39">
        <f>IF(v_revenue="","",v_revenue)</f>
        <v/>
      </c>
      <c r="J92" s="47">
        <f>IF(OR(H92="",I92=""),"",IFERROR(I92/H92-1,""))</f>
        <v/>
      </c>
      <c r="K92" s="15" t="n"/>
      <c r="L92" s="15" t="n"/>
      <c r="M92" s="15" t="n"/>
    </row>
    <row r="93" ht="44.5" customHeight="1">
      <c r="B93" s="12" t="inlineStr">
        <is>
          <t>littles_law</t>
        </is>
      </c>
      <c r="C93" s="22" t="inlineStr">
        <is>
          <t>Little's Law</t>
        </is>
      </c>
      <c r="D93" s="12" t="inlineStr">
        <is>
          <t>Contracts ÷ close rate ÷ productive salespeople × cycle ÷ 12 vs opportunities held</t>
        </is>
      </c>
      <c r="E93" s="12" t="inlineStr">
        <is>
          <t>Contracts, close rate, productive salespeople, cycle, opportunities held</t>
        </is>
      </c>
      <c r="F93" s="45" t="n">
        <v>0.25</v>
      </c>
      <c r="G93" s="46">
        <f>IF(OR(H93="",I93=""),"NEEDS DATA",IF(ABS(J93)&lt;=F93,"PASS","REVIEW"))</f>
        <v/>
      </c>
      <c r="H93" s="49">
        <f>IFERROR(v_contracts/v_win_rate/v_productive_salespeople*v_cycle_months/12,"")</f>
        <v/>
      </c>
      <c r="I93" s="49">
        <f>IF(v_opportunities_load="","",v_opportunities_load)</f>
        <v/>
      </c>
      <c r="J93" s="47">
        <f>IF(OR(H93="",I93=""),"",IFERROR(I93/H93-1,""))</f>
        <v/>
      </c>
      <c r="K93" s="15" t="n"/>
      <c r="L93" s="15" t="n"/>
      <c r="M93" s="15" t="n"/>
    </row>
    <row r="94" ht="31" customHeight="1">
      <c r="B94" s="12" t="inlineStr">
        <is>
          <t>territory_counts</t>
        </is>
      </c>
      <c r="C94" s="22" t="inlineStr">
        <is>
          <t>Territory count</t>
        </is>
      </c>
      <c r="D94" s="12" t="inlineStr">
        <is>
          <t>Filled seats + open territories vs funded territories</t>
        </is>
      </c>
      <c r="E94" s="12" t="inlineStr">
        <is>
          <t>Filled seats, open territories, funded territories</t>
        </is>
      </c>
      <c r="F94" s="45" t="n">
        <v>0</v>
      </c>
      <c r="G94" s="46">
        <f>IF(OR(H94="",I94=""),"NEEDS DATA",IF(ABS(J94)&lt;=F94,"PASS","REVIEW"))</f>
        <v/>
      </c>
      <c r="H94" s="48">
        <f>IFERROR(v_filled_seats+v_open_territories,"")</f>
        <v/>
      </c>
      <c r="I94" s="48">
        <f>IF(v_territory_count="","",v_territory_count)</f>
        <v/>
      </c>
      <c r="J94" s="47">
        <f>IF(OR(H94="",I94=""),"",IFERROR(I94/H94-1,""))</f>
        <v/>
      </c>
      <c r="K94" s="15" t="n"/>
      <c r="L94" s="15" t="n"/>
      <c r="M94" s="15" t="n"/>
    </row>
    <row r="95" ht="31" customHeight="1">
      <c r="B95" s="12" t="inlineStr">
        <is>
          <t>expected_yield_plan</t>
        </is>
      </c>
      <c r="C95" s="22" t="inlineStr">
        <is>
          <t>Expected yield vs plan</t>
        </is>
      </c>
      <c r="D95" s="12" t="inlineStr">
        <is>
          <t>Territories × expected yield vs revenue plan</t>
        </is>
      </c>
      <c r="E95" s="12" t="inlineStr">
        <is>
          <t>Territories, expected yield, plan</t>
        </is>
      </c>
      <c r="F95" s="45" t="n">
        <v>0.05</v>
      </c>
      <c r="G95" s="46">
        <f>IF(OR(H95="",I95=""),"NEEDS DATA",IF(ABS(J95)&lt;=F95,"PASS","REVIEW"))</f>
        <v/>
      </c>
      <c r="H95" s="39">
        <f>IFERROR(v_territory_count*v_expected_yield,"")</f>
        <v/>
      </c>
      <c r="I95" s="39">
        <f>IF(v_plan_target="","",v_plan_target)</f>
        <v/>
      </c>
      <c r="J95" s="47">
        <f>IF(OR(H95="",I95=""),"",IFERROR(I95/H95-1,""))</f>
        <v/>
      </c>
      <c r="K95" s="15" t="n"/>
      <c r="L95" s="15" t="n"/>
      <c r="M95" s="15" t="n"/>
    </row>
    <row r="96" ht="31" customHeight="1">
      <c r="B96" s="12" t="inlineStr">
        <is>
          <t>comp_ledger</t>
        </is>
      </c>
      <c r="C96" s="22" t="inlineStr">
        <is>
          <t>Compensation vs ledger</t>
        </is>
      </c>
      <c r="D96" s="12" t="inlineStr">
        <is>
          <t>Salespeople × loaded salary + commission × revenue vs ledger compensation</t>
        </is>
      </c>
      <c r="E96" s="12" t="inlineStr">
        <is>
          <t>Salespeople, loaded salary, commission rate, revenue</t>
        </is>
      </c>
      <c r="F96" s="45" t="n">
        <v>0.1</v>
      </c>
      <c r="G96" s="46">
        <f>IF(OR(H96="",I96=""),"NEEDS DATA",IF(ABS(J96)&lt;=F96,"PASS","REVIEW"))</f>
        <v/>
      </c>
      <c r="H96" s="39">
        <f>IFERROR(v_filled_seats*v_loaded_salary+v_commission_rate*v_revenue,"")</f>
        <v/>
      </c>
      <c r="I96" s="39">
        <f>IF(v_sales_comp_expense="","",v_sales_comp_expense)</f>
        <v/>
      </c>
      <c r="J96" s="47">
        <f>IF(OR(H96="",I96=""),"",IFERROR(I96/H96-1,""))</f>
        <v/>
      </c>
      <c r="K96" s="15" t="n"/>
      <c r="L96" s="15" t="n"/>
      <c r="M96" s="15" t="n"/>
    </row>
    <row r="97" ht="30" customHeight="1">
      <c r="B97" s="12" t="inlineStr">
        <is>
          <t>utilization</t>
        </is>
      </c>
      <c r="C97" s="22" t="inlineStr">
        <is>
          <t>Utilization</t>
        </is>
      </c>
      <c r="D97" s="12" t="inlineStr">
        <is>
          <t>Opportunities held ÷ opportunities a salesperson can manage; cannot exceed 100%</t>
        </is>
      </c>
      <c r="E97" s="12" t="inlineStr">
        <is>
          <t>Opportunities held, capacity</t>
        </is>
      </c>
      <c r="F97" s="45" t="n">
        <v>1</v>
      </c>
      <c r="G97" s="46">
        <f>IF(H97="","NEEDS DATA",IF(H97&lt;=F97,"PASS","REVIEW"))</f>
        <v/>
      </c>
      <c r="H97" s="50">
        <f>IFERROR(v_opportunities_load/v_opportunities_capacity,"")</f>
        <v/>
      </c>
      <c r="I97" s="51" t="n"/>
      <c r="J97" s="51" t="n"/>
      <c r="K97" s="15" t="n"/>
      <c r="L97" s="15" t="n"/>
      <c r="M97" s="15" t="n"/>
    </row>
  </sheetData>
  <mergeCells count="2">
    <mergeCell ref="A2:Q2"/>
    <mergeCell ref="F4:J4"/>
  </mergeCells>
  <conditionalFormatting sqref="G90:G97">
    <cfRule type="cellIs" priority="1" operator="equal" dxfId="0">
      <formula>"PASS"</formula>
    </cfRule>
    <cfRule type="cellIs" priority="2" operator="equal" dxfId="1">
      <formula>"REVIEW"</formula>
    </cfRule>
    <cfRule type="cellIs" priority="3" operator="equal" dxfId="2">
      <formula>"NEEDS DATA"</formula>
    </cfRule>
  </conditionalFormatting>
  <dataValidations count="5">
    <dataValidation sqref="D4" showDropDown="0" showInputMessage="0" showErrorMessage="0" allowBlank="0" type="list">
      <formula1>"Draft,Working model,In Finance review,Signed by Finance"</formula1>
    </dataValidation>
    <dataValidation sqref="G17 G18 G19 G21 G22 G23 G24 G25 G26 G27 G28 G29 G31 G32 G33 G34 G35 G36 G37 G38 G39 G40 G41 G42 G43 G44 G45 G46 G47 G48 G49 G50 G51 G52 G53 G54 G55 G56 G57 G58 G60 G61 G62 G63 G65 G66 G67 G69 G70 G71 G72 G73 G74 G75 G76 G78 G80 G81 G82 G84 G85 G86" showDropDown="0" showInputMessage="0" showErrorMessage="0" allowBlank="1" type="list">
      <formula1>"Validated actual,Calculated,Reference value,Judgment"</formula1>
    </dataValidation>
    <dataValidation sqref="H15" showDropDown="0" showInputMessage="0" showErrorMessage="0" allowBlank="0" type="list">
      <formula1>"Recognized revenue,Bookings"</formula1>
    </dataValidation>
    <dataValidation sqref="K90 K91 K92 K93 K94 K95 K96 K97" showDropDown="0" showInputMessage="0" showErrorMessage="0" allowBlank="1" type="list">
      <formula1>"Fixed,Explained,Accepted as known gap"</formula1>
    </dataValidation>
    <dataValidation sqref="L90 L91 L92 L93 L94 L95 L96 L97" showDropDown="0" showInputMessage="0" showErrorMessage="0" allowBlank="1" type="list">
      <formula1>"Definition,Timing,Scope,Data quality,Reference value,Other"</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M7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46" customWidth="1" min="1" max="1"/>
    <col width="44" customWidth="1" min="2" max="2"/>
    <col width="3"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3" t="inlineStr">
        <is>
          <t>2) What-If Scenarios</t>
        </is>
      </c>
    </row>
    <row r="2">
      <c r="A2" s="14" t="inlineStr">
        <is>
          <t>Each column is a scenario built on the tab 1 baseline. Rename it, describe the question, and enter changes in the yellow cells (blank means no change). Everything below is calculated from tab 1's Value used cells.</t>
        </is>
      </c>
    </row>
    <row r="3">
      <c r="A3" s="16">
        <f>v_baseline_banner</f>
        <v/>
      </c>
    </row>
    <row r="4">
      <c r="A4" s="6" t="inlineStr">
        <is>
          <t>View</t>
        </is>
      </c>
      <c r="B4" s="15" t="inlineStr">
        <is>
          <t>Year one</t>
        </is>
      </c>
    </row>
    <row r="5">
      <c r="A5" s="6" t="inlineStr">
        <is>
          <t>Compare break-even against</t>
        </is>
      </c>
      <c r="B5" s="15" t="inlineStr">
        <is>
          <t>Add territories +10%</t>
        </is>
      </c>
    </row>
    <row r="7" ht="30" customHeight="1">
      <c r="A7" s="10" t="inlineStr">
        <is>
          <t>Scenario</t>
        </is>
      </c>
      <c r="B7" s="10" t="inlineStr">
        <is>
          <t>How it works</t>
        </is>
      </c>
      <c r="D7" s="10" t="inlineStr">
        <is>
          <t>Baseline</t>
        </is>
      </c>
      <c r="E7" s="19" t="inlineStr">
        <is>
          <t>Add territories +10%</t>
        </is>
      </c>
      <c r="F7" s="19" t="inlineStr">
        <is>
          <t>Fill open territories</t>
        </is>
      </c>
      <c r="G7" s="19" t="inlineStr">
        <is>
          <t>Close rate +10%</t>
        </is>
      </c>
      <c r="H7" s="19" t="inlineStr">
        <is>
          <t>Cycle −10%</t>
        </is>
      </c>
      <c r="I7" s="19" t="inlineStr">
        <is>
          <t>Deal size +10%</t>
        </is>
      </c>
      <c r="J7" s="19" t="inlineStr">
        <is>
          <t>Opportunities held +10%</t>
        </is>
      </c>
      <c r="K7" s="19" t="inlineStr">
        <is>
          <t>Close, cycle and deal size</t>
        </is>
      </c>
      <c r="L7" s="19" t="inlineStr">
        <is>
          <t>All four with territories</t>
        </is>
      </c>
      <c r="M7" s="19" t="inlineStr">
        <is>
          <t>Your scenario</t>
        </is>
      </c>
    </row>
    <row r="8" ht="54" customHeight="1">
      <c r="A8" s="6" t="inlineStr">
        <is>
          <t>Question it answers</t>
        </is>
      </c>
      <c r="D8" s="14" t="inlineStr">
        <is>
          <t>Tab 1, as entered</t>
        </is>
      </c>
      <c r="E8" s="26" t="inlineStr">
        <is>
          <t>What if we fund 10% more territories and hire into them?</t>
        </is>
      </c>
      <c r="F8" s="26" t="inlineStr">
        <is>
          <t>What if we fill every open territory this year?</t>
        </is>
      </c>
      <c r="G8" s="26" t="inlineStr">
        <is>
          <t>What if we close 10% more of the opportunities we work?</t>
        </is>
      </c>
      <c r="H8" s="26" t="inlineStr">
        <is>
          <t>What if deals take 10% less time?</t>
        </is>
      </c>
      <c r="I8" s="26" t="inlineStr">
        <is>
          <t>What if each contract is worth 10% more?</t>
        </is>
      </c>
      <c r="J8" s="26" t="inlineStr">
        <is>
          <t>What if 10% more qualified opportunities reach each salesperson?</t>
        </is>
      </c>
      <c r="K8" s="26" t="inlineStr">
        <is>
          <t>What if all three quality levers improve 10%?</t>
        </is>
      </c>
      <c r="L8" s="26" t="inlineStr">
        <is>
          <t>What if we add territories and improve all three quality levers?</t>
        </is>
      </c>
      <c r="M8" s="26" t="inlineStr">
        <is>
          <t>Describe the question this scenario answers</t>
        </is>
      </c>
    </row>
    <row r="9"/>
    <row r="10">
      <c r="A10" s="20" t="inlineStr">
        <is>
          <t>Changes from baseline (blank means no change)</t>
        </is>
      </c>
      <c r="B10" s="21" t="n"/>
      <c r="D10" s="21" t="n"/>
      <c r="E10" s="21" t="n"/>
      <c r="F10" s="21" t="n"/>
      <c r="G10" s="21" t="n"/>
      <c r="H10" s="21" t="n"/>
      <c r="I10" s="21" t="n"/>
      <c r="J10" s="21" t="n"/>
      <c r="K10" s="21" t="n"/>
      <c r="L10" s="21" t="n"/>
      <c r="M10" s="21" t="n"/>
    </row>
    <row r="11">
      <c r="A11" s="7" t="inlineStr">
        <is>
          <t>Funded territories</t>
        </is>
      </c>
      <c r="B11" s="2" t="inlineStr">
        <is>
          <t>Territory design: how many territories the company funds · leverage point 10</t>
        </is>
      </c>
      <c r="D11" s="8" t="n"/>
      <c r="E11" s="52" t="n">
        <v>0.1</v>
      </c>
      <c r="F11" s="52" t="n"/>
      <c r="G11" s="52" t="n"/>
      <c r="H11" s="52" t="n"/>
      <c r="I11" s="52" t="n"/>
      <c r="J11" s="52" t="n"/>
      <c r="K11" s="52" t="n"/>
      <c r="L11" s="52" t="n">
        <v>0.1</v>
      </c>
      <c r="M11" s="52" t="n"/>
    </row>
    <row r="12">
      <c r="A12" s="7" t="inlineStr">
        <is>
          <t>Open territories filled</t>
        </is>
      </c>
      <c r="B12" s="2" t="inlineStr">
        <is>
          <t>Staffing: open territories filled during the year (up to the number open) · leverage point 10</t>
        </is>
      </c>
      <c r="D12" s="8" t="n"/>
      <c r="E12" s="53" t="n"/>
      <c r="F12" s="53">
        <f>N(v_open_territories)</f>
        <v/>
      </c>
      <c r="G12" s="53" t="n"/>
      <c r="H12" s="53" t="n"/>
      <c r="I12" s="53" t="n"/>
      <c r="J12" s="53" t="n"/>
      <c r="K12" s="53" t="n"/>
      <c r="L12" s="53" t="n"/>
      <c r="M12" s="53" t="n"/>
    </row>
    <row r="13">
      <c r="A13" s="7" t="inlineStr">
        <is>
          <t>Days to fill a territory</t>
        </is>
      </c>
      <c r="B13" s="2" t="inlineStr">
        <is>
          <t>Delay: approvals and recruiting · leverage point 9</t>
        </is>
      </c>
      <c r="D13" s="8" t="n"/>
      <c r="E13" s="52" t="n"/>
      <c r="F13" s="52" t="n"/>
      <c r="G13" s="52" t="n"/>
      <c r="H13" s="52" t="n"/>
      <c r="I13" s="52" t="n"/>
      <c r="J13" s="52" t="n"/>
      <c r="K13" s="52" t="n"/>
      <c r="L13" s="52" t="n"/>
      <c r="M13" s="52" t="n"/>
    </row>
    <row r="14">
      <c r="A14" s="7" t="inlineStr">
        <is>
          <t>Ramp time</t>
        </is>
      </c>
      <c r="B14" s="2" t="inlineStr">
        <is>
          <t>Delay: months until a new salesperson is fully productive · leverage point 9</t>
        </is>
      </c>
      <c r="D14" s="8" t="n"/>
      <c r="E14" s="52" t="n"/>
      <c r="F14" s="52" t="n"/>
      <c r="G14" s="52" t="n"/>
      <c r="H14" s="52" t="n"/>
      <c r="I14" s="52" t="n"/>
      <c r="J14" s="52" t="n"/>
      <c r="K14" s="52" t="n"/>
      <c r="L14" s="52" t="n"/>
      <c r="M14" s="52" t="n"/>
    </row>
    <row r="15">
      <c r="A15" s="7" t="inlineStr">
        <is>
          <t>Opportunities a salesperson can manage</t>
        </is>
      </c>
      <c r="B15" s="2" t="inlineStr">
        <is>
          <t>Capacity: how many opportunities a salesperson can hold and advance well · leverage point 12</t>
        </is>
      </c>
      <c r="D15" s="8" t="n"/>
      <c r="E15" s="52" t="n"/>
      <c r="F15" s="52" t="n"/>
      <c r="G15" s="52" t="n"/>
      <c r="H15" s="52" t="n"/>
      <c r="I15" s="52" t="n"/>
      <c r="J15" s="52" t="n"/>
      <c r="K15" s="52" t="n"/>
      <c r="L15" s="52" t="n"/>
      <c r="M15" s="52" t="n"/>
    </row>
    <row r="16">
      <c r="A16" s="7" t="inlineStr">
        <is>
          <t>Opportunities each salesperson holds</t>
        </is>
      </c>
      <c r="B16" s="2" t="inlineStr">
        <is>
          <t>Pipeline: qualified opportunities reaching salespeople (needs pipeline data on tab 1) · leverage point 11</t>
        </is>
      </c>
      <c r="D16" s="8" t="n"/>
      <c r="E16" s="52" t="n"/>
      <c r="F16" s="52" t="n"/>
      <c r="G16" s="52" t="n"/>
      <c r="H16" s="52" t="n"/>
      <c r="I16" s="52" t="n"/>
      <c r="J16" s="52" t="n">
        <v>0.1</v>
      </c>
      <c r="K16" s="52" t="n"/>
      <c r="L16" s="52" t="n"/>
      <c r="M16" s="52" t="n"/>
    </row>
    <row r="17">
      <c r="A17" s="7" t="inlineStr">
        <is>
          <t>Sales cycle</t>
        </is>
      </c>
      <c r="B17" s="2" t="inlineStr">
        <is>
          <t>Delay: time from qualified opportunity to signature · leverage point 9</t>
        </is>
      </c>
      <c r="D17" s="8" t="n"/>
      <c r="E17" s="52" t="n"/>
      <c r="F17" s="52" t="n"/>
      <c r="G17" s="52" t="n"/>
      <c r="H17" s="52" t="n">
        <v>-0.1</v>
      </c>
      <c r="I17" s="52" t="n"/>
      <c r="J17" s="52" t="n"/>
      <c r="K17" s="52" t="n">
        <v>-0.1</v>
      </c>
      <c r="L17" s="52" t="n">
        <v>-0.1</v>
      </c>
      <c r="M17" s="52" t="n"/>
    </row>
    <row r="18">
      <c r="A18" s="7" t="inlineStr">
        <is>
          <t>Close rate</t>
        </is>
      </c>
      <c r="B18" s="2" t="inlineStr">
        <is>
          <t>Conversion · leverage point 12</t>
        </is>
      </c>
      <c r="D18" s="8" t="n"/>
      <c r="E18" s="52" t="n"/>
      <c r="F18" s="52" t="n"/>
      <c r="G18" s="52" t="n">
        <v>0.1</v>
      </c>
      <c r="H18" s="52" t="n"/>
      <c r="I18" s="52" t="n"/>
      <c r="J18" s="52" t="n"/>
      <c r="K18" s="52" t="n">
        <v>0.1</v>
      </c>
      <c r="L18" s="52" t="n">
        <v>0.1</v>
      </c>
      <c r="M18" s="52" t="n"/>
    </row>
    <row r="19">
      <c r="A19" s="7" t="inlineStr">
        <is>
          <t>Average revenue per contract</t>
        </is>
      </c>
      <c r="B19" s="2" t="inlineStr">
        <is>
          <t>Value per contract · leverage point 12</t>
        </is>
      </c>
      <c r="D19" s="8" t="n"/>
      <c r="E19" s="52" t="n"/>
      <c r="F19" s="52" t="n"/>
      <c r="G19" s="52" t="n"/>
      <c r="H19" s="52" t="n"/>
      <c r="I19" s="52" t="n">
        <v>0.1</v>
      </c>
      <c r="J19" s="52" t="n"/>
      <c r="K19" s="52" t="n">
        <v>0.1</v>
      </c>
      <c r="L19" s="52" t="n">
        <v>0.1</v>
      </c>
      <c r="M19" s="52" t="n"/>
    </row>
    <row r="20">
      <c r="A20" s="7" t="inlineStr">
        <is>
          <t>Salesperson compensation (salary and load)</t>
        </is>
      </c>
      <c r="B20" s="2" t="inlineStr">
        <is>
          <t>Cost per salesperson · leverage point 12</t>
        </is>
      </c>
      <c r="D20" s="8" t="n"/>
      <c r="E20" s="52" t="n"/>
      <c r="F20" s="52" t="n"/>
      <c r="G20" s="52" t="n"/>
      <c r="H20" s="52" t="n"/>
      <c r="I20" s="52" t="n"/>
      <c r="J20" s="52" t="n"/>
      <c r="K20" s="52" t="n"/>
      <c r="L20" s="52" t="n"/>
      <c r="M20" s="52" t="n"/>
    </row>
    <row r="21">
      <c r="A21" s="7" t="inlineStr">
        <is>
          <t>Commission rate</t>
        </is>
      </c>
      <c r="B21" s="2" t="inlineStr">
        <is>
          <t>Rule: compensation plan · leverage point 5</t>
        </is>
      </c>
      <c r="D21" s="8" t="n"/>
      <c r="E21" s="52" t="n"/>
      <c r="F21" s="52" t="n"/>
      <c r="G21" s="52" t="n"/>
      <c r="H21" s="52" t="n"/>
      <c r="I21" s="52" t="n"/>
      <c r="J21" s="52" t="n"/>
      <c r="K21" s="52" t="n"/>
      <c r="L21" s="52" t="n"/>
      <c r="M21" s="52" t="n"/>
    </row>
    <row r="22">
      <c r="A22" s="7" t="inlineStr">
        <is>
          <t>Sales overhead</t>
        </is>
      </c>
      <c r="B22" s="2" t="inlineStr">
        <is>
          <t>Change in dollars · leverage point 12</t>
        </is>
      </c>
      <c r="D22" s="8" t="n"/>
      <c r="E22" s="54" t="n"/>
      <c r="F22" s="54" t="n"/>
      <c r="G22" s="54" t="n"/>
      <c r="H22" s="54" t="n"/>
      <c r="I22" s="54" t="n"/>
      <c r="J22" s="54" t="n"/>
      <c r="K22" s="54" t="n"/>
      <c r="L22" s="54" t="n"/>
      <c r="M22" s="54" t="n"/>
    </row>
    <row r="23">
      <c r="A23" s="7" t="inlineStr">
        <is>
          <t>Marketing</t>
        </is>
      </c>
      <c r="B23" s="2" t="inlineStr">
        <is>
          <t>Change in dollars · leverage point 12</t>
        </is>
      </c>
      <c r="D23" s="8" t="n"/>
      <c r="E23" s="54" t="n"/>
      <c r="F23" s="54" t="n"/>
      <c r="G23" s="54" t="n"/>
      <c r="H23" s="54" t="n"/>
      <c r="I23" s="54" t="n"/>
      <c r="J23" s="54" t="n"/>
      <c r="K23" s="54" t="n"/>
      <c r="L23" s="54" t="n"/>
      <c r="M23" s="54" t="n"/>
    </row>
    <row r="24">
      <c r="A24" s="7" t="inlineStr">
        <is>
          <t>Cost of making the change (one-time)</t>
        </is>
      </c>
      <c r="B24" s="2" t="inlineStr">
        <is>
          <t>Enablement, tools, hiring, consulting: what the improvement costs this year · leverage point 12</t>
        </is>
      </c>
      <c r="D24" s="8" t="n"/>
      <c r="E24" s="54" t="n"/>
      <c r="F24" s="54" t="n"/>
      <c r="G24" s="54" t="n"/>
      <c r="H24" s="54" t="n"/>
      <c r="I24" s="54" t="n"/>
      <c r="J24" s="54" t="n"/>
      <c r="K24" s="54" t="n"/>
      <c r="L24" s="54" t="n"/>
      <c r="M24" s="54" t="n"/>
    </row>
    <row r="26">
      <c r="A26" s="20" t="inlineStr">
        <is>
          <t>Territory design and staffing</t>
        </is>
      </c>
      <c r="B26" s="21" t="n"/>
      <c r="D26" s="21" t="n"/>
      <c r="E26" s="21" t="n"/>
      <c r="F26" s="21" t="n"/>
      <c r="G26" s="21" t="n"/>
      <c r="H26" s="21" t="n"/>
      <c r="I26" s="21" t="n"/>
      <c r="J26" s="21" t="n"/>
      <c r="K26" s="21" t="n"/>
      <c r="L26" s="21" t="n"/>
      <c r="M26" s="21" t="n"/>
    </row>
    <row r="27">
      <c r="A27" s="7" t="inlineStr">
        <is>
          <t>Funded territories</t>
        </is>
      </c>
      <c r="B27" s="2" t="inlineStr">
        <is>
          <t>Tab 1 funded territories × change</t>
        </is>
      </c>
      <c r="D27" s="55">
        <f>v_territory_count*(1+D11)</f>
        <v/>
      </c>
      <c r="E27" s="55">
        <f>v_territory_count*(1+E11)</f>
        <v/>
      </c>
      <c r="F27" s="55">
        <f>v_territory_count*(1+F11)</f>
        <v/>
      </c>
      <c r="G27" s="55">
        <f>v_territory_count*(1+G11)</f>
        <v/>
      </c>
      <c r="H27" s="55">
        <f>v_territory_count*(1+H11)</f>
        <v/>
      </c>
      <c r="I27" s="55">
        <f>v_territory_count*(1+I11)</f>
        <v/>
      </c>
      <c r="J27" s="55">
        <f>v_territory_count*(1+J11)</f>
        <v/>
      </c>
      <c r="K27" s="55">
        <f>v_territory_count*(1+K11)</f>
        <v/>
      </c>
      <c r="L27" s="55">
        <f>v_territory_count*(1+L11)</f>
        <v/>
      </c>
      <c r="M27" s="55">
        <f>v_territory_count*(1+M11)</f>
        <v/>
      </c>
    </row>
    <row r="28">
      <c r="A28" s="7" t="inlineStr">
        <is>
          <t>Open territories at start</t>
        </is>
      </c>
      <c r="B28" s="2" t="inlineStr">
        <is>
          <t>Tab 1 (0 if not provided)</t>
        </is>
      </c>
      <c r="D28" s="55">
        <f>N(v_open_territories)</f>
        <v/>
      </c>
      <c r="E28" s="55">
        <f>N(v_open_territories)</f>
        <v/>
      </c>
      <c r="F28" s="55">
        <f>N(v_open_territories)</f>
        <v/>
      </c>
      <c r="G28" s="55">
        <f>N(v_open_territories)</f>
        <v/>
      </c>
      <c r="H28" s="55">
        <f>N(v_open_territories)</f>
        <v/>
      </c>
      <c r="I28" s="55">
        <f>N(v_open_territories)</f>
        <v/>
      </c>
      <c r="J28" s="55">
        <f>N(v_open_territories)</f>
        <v/>
      </c>
      <c r="K28" s="55">
        <f>N(v_open_territories)</f>
        <v/>
      </c>
      <c r="L28" s="55">
        <f>N(v_open_territories)</f>
        <v/>
      </c>
      <c r="M28" s="55">
        <f>N(v_open_territories)</f>
        <v/>
      </c>
    </row>
    <row r="29">
      <c r="A29" s="7" t="inlineStr">
        <is>
          <t>Filled territories at start</t>
        </is>
      </c>
      <c r="B29" s="2" t="inlineStr">
        <is>
          <t>Funded − open</t>
        </is>
      </c>
      <c r="D29" s="55">
        <f>v_territory_count-D28</f>
        <v/>
      </c>
      <c r="E29" s="55">
        <f>v_territory_count-E28</f>
        <v/>
      </c>
      <c r="F29" s="55">
        <f>v_territory_count-F28</f>
        <v/>
      </c>
      <c r="G29" s="55">
        <f>v_territory_count-G28</f>
        <v/>
      </c>
      <c r="H29" s="55">
        <f>v_territory_count-H28</f>
        <v/>
      </c>
      <c r="I29" s="55">
        <f>v_territory_count-I28</f>
        <v/>
      </c>
      <c r="J29" s="55">
        <f>v_territory_count-J28</f>
        <v/>
      </c>
      <c r="K29" s="55">
        <f>v_territory_count-K28</f>
        <v/>
      </c>
      <c r="L29" s="55">
        <f>v_territory_count-L28</f>
        <v/>
      </c>
      <c r="M29" s="55">
        <f>v_territory_count-M28</f>
        <v/>
      </c>
    </row>
    <row r="30">
      <c r="A30" s="7" t="inlineStr">
        <is>
          <t>New territories added</t>
        </is>
      </c>
      <c r="B30" s="2" t="inlineStr">
        <is>
          <t>Design change</t>
        </is>
      </c>
      <c r="D30" s="55">
        <f>D27-v_territory_count</f>
        <v/>
      </c>
      <c r="E30" s="55">
        <f>E27-v_territory_count</f>
        <v/>
      </c>
      <c r="F30" s="55">
        <f>F27-v_territory_count</f>
        <v/>
      </c>
      <c r="G30" s="55">
        <f>G27-v_territory_count</f>
        <v/>
      </c>
      <c r="H30" s="55">
        <f>H27-v_territory_count</f>
        <v/>
      </c>
      <c r="I30" s="55">
        <f>I27-v_territory_count</f>
        <v/>
      </c>
      <c r="J30" s="55">
        <f>J27-v_territory_count</f>
        <v/>
      </c>
      <c r="K30" s="55">
        <f>K27-v_territory_count</f>
        <v/>
      </c>
      <c r="L30" s="55">
        <f>L27-v_territory_count</f>
        <v/>
      </c>
      <c r="M30" s="55">
        <f>M27-v_territory_count</f>
        <v/>
      </c>
    </row>
    <row r="31">
      <c r="A31" s="7" t="inlineStr">
        <is>
          <t>Open territories filled</t>
        </is>
      </c>
      <c r="B31" s="2" t="inlineStr">
        <is>
          <t>Up to the number open</t>
        </is>
      </c>
      <c r="D31" s="55">
        <f>MIN(N(D12),D28)</f>
        <v/>
      </c>
      <c r="E31" s="55">
        <f>MIN(N(E12),E28)</f>
        <v/>
      </c>
      <c r="F31" s="55">
        <f>MIN(N(F12),F28)</f>
        <v/>
      </c>
      <c r="G31" s="55">
        <f>MIN(N(G12),G28)</f>
        <v/>
      </c>
      <c r="H31" s="55">
        <f>MIN(N(H12),H28)</f>
        <v/>
      </c>
      <c r="I31" s="55">
        <f>MIN(N(I12),I28)</f>
        <v/>
      </c>
      <c r="J31" s="55">
        <f>MIN(N(J12),J28)</f>
        <v/>
      </c>
      <c r="K31" s="55">
        <f>MIN(N(K12),K28)</f>
        <v/>
      </c>
      <c r="L31" s="55">
        <f>MIN(N(L12),L28)</f>
        <v/>
      </c>
      <c r="M31" s="55">
        <f>MIN(N(M12),M28)</f>
        <v/>
      </c>
    </row>
    <row r="32">
      <c r="A32" s="7" t="inlineStr">
        <is>
          <t>Territories still open</t>
        </is>
      </c>
      <c r="B32" s="2" t="inlineStr">
        <is>
          <t>Each one is expected yield not produced</t>
        </is>
      </c>
      <c r="D32" s="55">
        <f>D28-D31</f>
        <v/>
      </c>
      <c r="E32" s="55">
        <f>E28-E31</f>
        <v/>
      </c>
      <c r="F32" s="55">
        <f>F28-F31</f>
        <v/>
      </c>
      <c r="G32" s="55">
        <f>G28-G31</f>
        <v/>
      </c>
      <c r="H32" s="55">
        <f>H28-H31</f>
        <v/>
      </c>
      <c r="I32" s="55">
        <f>I28-I31</f>
        <v/>
      </c>
      <c r="J32" s="55">
        <f>J28-J31</f>
        <v/>
      </c>
      <c r="K32" s="55">
        <f>K28-K31</f>
        <v/>
      </c>
      <c r="L32" s="55">
        <f>L28-L31</f>
        <v/>
      </c>
      <c r="M32" s="55">
        <f>M28-M31</f>
        <v/>
      </c>
    </row>
    <row r="33">
      <c r="A33" s="7" t="inlineStr">
        <is>
          <t>Months to fill a territory</t>
        </is>
      </c>
      <c r="B33" s="2" t="inlineStr">
        <is>
          <t>Tab 1 days ÷ 30.4 × change</t>
        </is>
      </c>
      <c r="D33" s="56">
        <f>N(v_time_to_fill_days)/30.4*(1+D13)</f>
        <v/>
      </c>
      <c r="E33" s="56">
        <f>N(v_time_to_fill_days)/30.4*(1+E13)</f>
        <v/>
      </c>
      <c r="F33" s="56">
        <f>N(v_time_to_fill_days)/30.4*(1+F13)</f>
        <v/>
      </c>
      <c r="G33" s="56">
        <f>N(v_time_to_fill_days)/30.4*(1+G13)</f>
        <v/>
      </c>
      <c r="H33" s="56">
        <f>N(v_time_to_fill_days)/30.4*(1+H13)</f>
        <v/>
      </c>
      <c r="I33" s="56">
        <f>N(v_time_to_fill_days)/30.4*(1+I13)</f>
        <v/>
      </c>
      <c r="J33" s="56">
        <f>N(v_time_to_fill_days)/30.4*(1+J13)</f>
        <v/>
      </c>
      <c r="K33" s="56">
        <f>N(v_time_to_fill_days)/30.4*(1+K13)</f>
        <v/>
      </c>
      <c r="L33" s="56">
        <f>N(v_time_to_fill_days)/30.4*(1+L13)</f>
        <v/>
      </c>
      <c r="M33" s="56">
        <f>N(v_time_to_fill_days)/30.4*(1+M13)</f>
        <v/>
      </c>
    </row>
    <row r="34">
      <c r="A34" s="7" t="inlineStr">
        <is>
          <t>Ramp time (months)</t>
        </is>
      </c>
      <c r="B34" s="2" t="inlineStr">
        <is>
          <t>Tab 1 × change</t>
        </is>
      </c>
      <c r="D34" s="56">
        <f>v_ramp_months*(1+D14)</f>
        <v/>
      </c>
      <c r="E34" s="56">
        <f>v_ramp_months*(1+E14)</f>
        <v/>
      </c>
      <c r="F34" s="56">
        <f>v_ramp_months*(1+F14)</f>
        <v/>
      </c>
      <c r="G34" s="56">
        <f>v_ramp_months*(1+G14)</f>
        <v/>
      </c>
      <c r="H34" s="56">
        <f>v_ramp_months*(1+H14)</f>
        <v/>
      </c>
      <c r="I34" s="56">
        <f>v_ramp_months*(1+I14)</f>
        <v/>
      </c>
      <c r="J34" s="56">
        <f>v_ramp_months*(1+J14)</f>
        <v/>
      </c>
      <c r="K34" s="56">
        <f>v_ramp_months*(1+K14)</f>
        <v/>
      </c>
      <c r="L34" s="56">
        <f>v_ramp_months*(1+L14)</f>
        <v/>
      </c>
      <c r="M34" s="56">
        <f>v_ramp_months*(1+M14)</f>
        <v/>
      </c>
    </row>
    <row r="35">
      <c r="A35" s="7" t="inlineStr">
        <is>
          <t>Share of year a newly staffed territory produces</t>
        </is>
      </c>
      <c r="B35" s="2" t="inlineStr">
        <is>
          <t>Year one: (12 − fill − ramp) ÷ 12; steady state: 1</t>
        </is>
      </c>
      <c r="D35" s="57">
        <f>IF(wi_view="Steady state",1,MAX(0,12-D33-D34)/12)</f>
        <v/>
      </c>
      <c r="E35" s="57">
        <f>IF(wi_view="Steady state",1,MAX(0,12-E33-E34)/12)</f>
        <v/>
      </c>
      <c r="F35" s="57">
        <f>IF(wi_view="Steady state",1,MAX(0,12-F33-F34)/12)</f>
        <v/>
      </c>
      <c r="G35" s="57">
        <f>IF(wi_view="Steady state",1,MAX(0,12-G33-G34)/12)</f>
        <v/>
      </c>
      <c r="H35" s="57">
        <f>IF(wi_view="Steady state",1,MAX(0,12-H33-H34)/12)</f>
        <v/>
      </c>
      <c r="I35" s="57">
        <f>IF(wi_view="Steady state",1,MAX(0,12-I33-I34)/12)</f>
        <v/>
      </c>
      <c r="J35" s="57">
        <f>IF(wi_view="Steady state",1,MAX(0,12-J33-J34)/12)</f>
        <v/>
      </c>
      <c r="K35" s="57">
        <f>IF(wi_view="Steady state",1,MAX(0,12-K33-K34)/12)</f>
        <v/>
      </c>
      <c r="L35" s="57">
        <f>IF(wi_view="Steady state",1,MAX(0,12-L33-L34)/12)</f>
        <v/>
      </c>
      <c r="M35" s="57">
        <f>IF(wi_view="Steady state",1,MAX(0,12-M33-M34)/12)</f>
        <v/>
      </c>
    </row>
    <row r="36">
      <c r="A36" s="7" t="inlineStr">
        <is>
          <t>Share of year a new salesperson is paid</t>
        </is>
      </c>
      <c r="B36" s="2" t="inlineStr">
        <is>
          <t>Year one: (12 − fill) ÷ 12; steady state: 1</t>
        </is>
      </c>
      <c r="D36" s="57">
        <f>IF(wi_view="Steady state",1,MAX(0,12-D33)/12)</f>
        <v/>
      </c>
      <c r="E36" s="57">
        <f>IF(wi_view="Steady state",1,MAX(0,12-E33)/12)</f>
        <v/>
      </c>
      <c r="F36" s="57">
        <f>IF(wi_view="Steady state",1,MAX(0,12-F33)/12)</f>
        <v/>
      </c>
      <c r="G36" s="57">
        <f>IF(wi_view="Steady state",1,MAX(0,12-G33)/12)</f>
        <v/>
      </c>
      <c r="H36" s="57">
        <f>IF(wi_view="Steady state",1,MAX(0,12-H33)/12)</f>
        <v/>
      </c>
      <c r="I36" s="57">
        <f>IF(wi_view="Steady state",1,MAX(0,12-I33)/12)</f>
        <v/>
      </c>
      <c r="J36" s="57">
        <f>IF(wi_view="Steady state",1,MAX(0,12-J33)/12)</f>
        <v/>
      </c>
      <c r="K36" s="57">
        <f>IF(wi_view="Steady state",1,MAX(0,12-K33)/12)</f>
        <v/>
      </c>
      <c r="L36" s="57">
        <f>IF(wi_view="Steady state",1,MAX(0,12-L33)/12)</f>
        <v/>
      </c>
      <c r="M36" s="57">
        <f>IF(wi_view="Steady state",1,MAX(0,12-M33)/12)</f>
        <v/>
      </c>
    </row>
    <row r="37">
      <c r="A37" s="7" t="inlineStr">
        <is>
          <t>Productive salespeople in filled territories</t>
        </is>
      </c>
      <c r="B37" s="2" t="inlineStr">
        <is>
          <t>Tab 1 productive salespeople, if provided</t>
        </is>
      </c>
      <c r="D37" s="55">
        <f>IF(N(v_productive_salespeople)&gt;0,MIN(D29,v_productive_salespeople),D29)</f>
        <v/>
      </c>
      <c r="E37" s="55">
        <f>IF(N(v_productive_salespeople)&gt;0,MIN(E29,v_productive_salespeople),E29)</f>
        <v/>
      </c>
      <c r="F37" s="55">
        <f>IF(N(v_productive_salespeople)&gt;0,MIN(F29,v_productive_salespeople),F29)</f>
        <v/>
      </c>
      <c r="G37" s="55">
        <f>IF(N(v_productive_salespeople)&gt;0,MIN(G29,v_productive_salespeople),G29)</f>
        <v/>
      </c>
      <c r="H37" s="55">
        <f>IF(N(v_productive_salespeople)&gt;0,MIN(H29,v_productive_salespeople),H29)</f>
        <v/>
      </c>
      <c r="I37" s="55">
        <f>IF(N(v_productive_salespeople)&gt;0,MIN(I29,v_productive_salespeople),I29)</f>
        <v/>
      </c>
      <c r="J37" s="55">
        <f>IF(N(v_productive_salespeople)&gt;0,MIN(J29,v_productive_salespeople),J29)</f>
        <v/>
      </c>
      <c r="K37" s="55">
        <f>IF(N(v_productive_salespeople)&gt;0,MIN(K29,v_productive_salespeople),K29)</f>
        <v/>
      </c>
      <c r="L37" s="55">
        <f>IF(N(v_productive_salespeople)&gt;0,MIN(L29,v_productive_salespeople),L29)</f>
        <v/>
      </c>
      <c r="M37" s="55">
        <f>IF(N(v_productive_salespeople)&gt;0,MIN(M29,v_productive_salespeople),M29)</f>
        <v/>
      </c>
    </row>
    <row r="38">
      <c r="A38" s="7" t="inlineStr">
        <is>
          <t>Productive territory-years</t>
        </is>
      </c>
      <c r="B38" s="2" t="inlineStr">
        <is>
          <t>What actually produces revenue this year</t>
        </is>
      </c>
      <c r="D38" s="55">
        <f>D37+(D31+D30)*D35</f>
        <v/>
      </c>
      <c r="E38" s="55">
        <f>E37+(E31+E30)*E35</f>
        <v/>
      </c>
      <c r="F38" s="55">
        <f>F37+(F31+F30)*F35</f>
        <v/>
      </c>
      <c r="G38" s="55">
        <f>G37+(G31+G30)*G35</f>
        <v/>
      </c>
      <c r="H38" s="55">
        <f>H37+(H31+H30)*H35</f>
        <v/>
      </c>
      <c r="I38" s="55">
        <f>I37+(I31+I30)*I35</f>
        <v/>
      </c>
      <c r="J38" s="55">
        <f>J37+(J31+J30)*J35</f>
        <v/>
      </c>
      <c r="K38" s="55">
        <f>K37+(K31+K30)*K35</f>
        <v/>
      </c>
      <c r="L38" s="55">
        <f>L37+(L31+L30)*L35</f>
        <v/>
      </c>
      <c r="M38" s="55">
        <f>M37+(M31+M30)*M35</f>
        <v/>
      </c>
    </row>
    <row r="39">
      <c r="A39" s="7" t="inlineStr">
        <is>
          <t>Salesperson-years paid</t>
        </is>
      </c>
      <c r="B39" s="2" t="inlineStr">
        <is>
          <t>What the company pays for this year</t>
        </is>
      </c>
      <c r="D39" s="55">
        <f>D29+(D31+D30)*D36</f>
        <v/>
      </c>
      <c r="E39" s="55">
        <f>E29+(E31+E30)*E36</f>
        <v/>
      </c>
      <c r="F39" s="55">
        <f>F29+(F31+F30)*F36</f>
        <v/>
      </c>
      <c r="G39" s="55">
        <f>G29+(G31+G30)*G36</f>
        <v/>
      </c>
      <c r="H39" s="55">
        <f>H29+(H31+H30)*H36</f>
        <v/>
      </c>
      <c r="I39" s="55">
        <f>I29+(I31+I30)*I36</f>
        <v/>
      </c>
      <c r="J39" s="55">
        <f>J29+(J31+J30)*J36</f>
        <v/>
      </c>
      <c r="K39" s="55">
        <f>K29+(K31+K30)*K36</f>
        <v/>
      </c>
      <c r="L39" s="55">
        <f>L29+(L31+L30)*L36</f>
        <v/>
      </c>
      <c r="M39" s="55">
        <f>M29+(M31+M30)*M36</f>
        <v/>
      </c>
    </row>
    <row r="40">
      <c r="A40" s="20" t="inlineStr">
        <is>
          <t>Salesperson throughput</t>
        </is>
      </c>
      <c r="B40" s="21" t="n"/>
      <c r="D40" s="21" t="n"/>
      <c r="E40" s="21" t="n"/>
      <c r="F40" s="21" t="n"/>
      <c r="G40" s="21" t="n"/>
      <c r="H40" s="21" t="n"/>
      <c r="I40" s="21" t="n"/>
      <c r="J40" s="21" t="n"/>
      <c r="K40" s="21" t="n"/>
      <c r="L40" s="21" t="n"/>
      <c r="M40" s="21" t="n"/>
    </row>
    <row r="41">
      <c r="A41" s="7" t="inlineStr">
        <is>
          <t>Opportunities a salesperson can manage</t>
        </is>
      </c>
      <c r="B41" s="2" t="inlineStr">
        <is>
          <t>Tab 1 × change</t>
        </is>
      </c>
      <c r="D41" s="55">
        <f>v_opportunities_capacity*(1+D15)</f>
        <v/>
      </c>
      <c r="E41" s="55">
        <f>v_opportunities_capacity*(1+E15)</f>
        <v/>
      </c>
      <c r="F41" s="55">
        <f>v_opportunities_capacity*(1+F15)</f>
        <v/>
      </c>
      <c r="G41" s="55">
        <f>v_opportunities_capacity*(1+G15)</f>
        <v/>
      </c>
      <c r="H41" s="55">
        <f>v_opportunities_capacity*(1+H15)</f>
        <v/>
      </c>
      <c r="I41" s="55">
        <f>v_opportunities_capacity*(1+I15)</f>
        <v/>
      </c>
      <c r="J41" s="55">
        <f>v_opportunities_capacity*(1+J15)</f>
        <v/>
      </c>
      <c r="K41" s="55">
        <f>v_opportunities_capacity*(1+K15)</f>
        <v/>
      </c>
      <c r="L41" s="55">
        <f>v_opportunities_capacity*(1+L15)</f>
        <v/>
      </c>
      <c r="M41" s="55">
        <f>v_opportunities_capacity*(1+M15)</f>
        <v/>
      </c>
    </row>
    <row r="42">
      <c r="A42" s="7" t="inlineStr">
        <is>
          <t>Opportunities each salesperson holds</t>
        </is>
      </c>
      <c r="B42" s="2" t="inlineStr">
        <is>
          <t>Tab 1 pipeline data × change (blank if not provided)</t>
        </is>
      </c>
      <c r="D42" s="55">
        <f>IF(N(v_opportunities_load)=0,"",v_opportunities_load*(1+D16))</f>
        <v/>
      </c>
      <c r="E42" s="55">
        <f>IF(N(v_opportunities_load)=0,"",v_opportunities_load*(1+E16))</f>
        <v/>
      </c>
      <c r="F42" s="55">
        <f>IF(N(v_opportunities_load)=0,"",v_opportunities_load*(1+F16))</f>
        <v/>
      </c>
      <c r="G42" s="55">
        <f>IF(N(v_opportunities_load)=0,"",v_opportunities_load*(1+G16))</f>
        <v/>
      </c>
      <c r="H42" s="55">
        <f>IF(N(v_opportunities_load)=0,"",v_opportunities_load*(1+H16))</f>
        <v/>
      </c>
      <c r="I42" s="55">
        <f>IF(N(v_opportunities_load)=0,"",v_opportunities_load*(1+I16))</f>
        <v/>
      </c>
      <c r="J42" s="55">
        <f>IF(N(v_opportunities_load)=0,"",v_opportunities_load*(1+J16))</f>
        <v/>
      </c>
      <c r="K42" s="55">
        <f>IF(N(v_opportunities_load)=0,"",v_opportunities_load*(1+K16))</f>
        <v/>
      </c>
      <c r="L42" s="55">
        <f>IF(N(v_opportunities_load)=0,"",v_opportunities_load*(1+L16))</f>
        <v/>
      </c>
      <c r="M42" s="55">
        <f>IF(N(v_opportunities_load)=0,"",v_opportunities_load*(1+M16))</f>
        <v/>
      </c>
    </row>
    <row r="43">
      <c r="A43" s="7" t="inlineStr">
        <is>
          <t>Opportunities worked at once</t>
        </is>
      </c>
      <c r="B43" s="2" t="inlineStr">
        <is>
          <t>The lower of what they hold and what they can manage</t>
        </is>
      </c>
      <c r="D43" s="55">
        <f>IF(D42="",D41,MIN(D42,D41))</f>
        <v/>
      </c>
      <c r="E43" s="55">
        <f>IF(E42="",E41,MIN(E42,E41))</f>
        <v/>
      </c>
      <c r="F43" s="55">
        <f>IF(F42="",F41,MIN(F42,F41))</f>
        <v/>
      </c>
      <c r="G43" s="55">
        <f>IF(G42="",G41,MIN(G42,G41))</f>
        <v/>
      </c>
      <c r="H43" s="55">
        <f>IF(H42="",H41,MIN(H42,H41))</f>
        <v/>
      </c>
      <c r="I43" s="55">
        <f>IF(I42="",I41,MIN(I42,I41))</f>
        <v/>
      </c>
      <c r="J43" s="55">
        <f>IF(J42="",J41,MIN(J42,J41))</f>
        <v/>
      </c>
      <c r="K43" s="55">
        <f>IF(K42="",K41,MIN(K42,K41))</f>
        <v/>
      </c>
      <c r="L43" s="55">
        <f>IF(L42="",L41,MIN(L42,L41))</f>
        <v/>
      </c>
      <c r="M43" s="55">
        <f>IF(M42="",M41,MIN(M42,M41))</f>
        <v/>
      </c>
    </row>
    <row r="44">
      <c r="A44" s="7" t="inlineStr">
        <is>
          <t>Utilization of capacity</t>
        </is>
      </c>
      <c r="B44" s="2" t="inlineStr">
        <is>
          <t>Held ÷ can manage</t>
        </is>
      </c>
      <c r="D44" s="57">
        <f>IF(D42="","",D42/D41)</f>
        <v/>
      </c>
      <c r="E44" s="57">
        <f>IF(E42="","",E42/E41)</f>
        <v/>
      </c>
      <c r="F44" s="57">
        <f>IF(F42="","",F42/F41)</f>
        <v/>
      </c>
      <c r="G44" s="57">
        <f>IF(G42="","",G42/G41)</f>
        <v/>
      </c>
      <c r="H44" s="57">
        <f>IF(H42="","",H42/H41)</f>
        <v/>
      </c>
      <c r="I44" s="57">
        <f>IF(I42="","",I42/I41)</f>
        <v/>
      </c>
      <c r="J44" s="57">
        <f>IF(J42="","",J42/J41)</f>
        <v/>
      </c>
      <c r="K44" s="57">
        <f>IF(K42="","",K42/K41)</f>
        <v/>
      </c>
      <c r="L44" s="57">
        <f>IF(L42="","",L42/L41)</f>
        <v/>
      </c>
      <c r="M44" s="57">
        <f>IF(M42="","",M42/M41)</f>
        <v/>
      </c>
    </row>
    <row r="45">
      <c r="A45" s="7" t="inlineStr">
        <is>
          <t>Sales cycle (months)</t>
        </is>
      </c>
      <c r="B45" s="2" t="inlineStr">
        <is>
          <t>Tab 1 × change</t>
        </is>
      </c>
      <c r="D45" s="56">
        <f>v_cycle_months*(1+D17)</f>
        <v/>
      </c>
      <c r="E45" s="56">
        <f>v_cycle_months*(1+E17)</f>
        <v/>
      </c>
      <c r="F45" s="56">
        <f>v_cycle_months*(1+F17)</f>
        <v/>
      </c>
      <c r="G45" s="56">
        <f>v_cycle_months*(1+G17)</f>
        <v/>
      </c>
      <c r="H45" s="56">
        <f>v_cycle_months*(1+H17)</f>
        <v/>
      </c>
      <c r="I45" s="56">
        <f>v_cycle_months*(1+I17)</f>
        <v/>
      </c>
      <c r="J45" s="56">
        <f>v_cycle_months*(1+J17)</f>
        <v/>
      </c>
      <c r="K45" s="56">
        <f>v_cycle_months*(1+K17)</f>
        <v/>
      </c>
      <c r="L45" s="56">
        <f>v_cycle_months*(1+L17)</f>
        <v/>
      </c>
      <c r="M45" s="56">
        <f>v_cycle_months*(1+M17)</f>
        <v/>
      </c>
    </row>
    <row r="46">
      <c r="A46" s="7" t="inlineStr">
        <is>
          <t>Opportunities resolved per salesperson per year</t>
        </is>
      </c>
      <c r="B46" s="2" t="inlineStr">
        <is>
          <t>Little's Law: worked × 12 ÷ cycle</t>
        </is>
      </c>
      <c r="D46" s="55">
        <f>D43*12/D45</f>
        <v/>
      </c>
      <c r="E46" s="55">
        <f>E43*12/E45</f>
        <v/>
      </c>
      <c r="F46" s="55">
        <f>F43*12/F45</f>
        <v/>
      </c>
      <c r="G46" s="55">
        <f>G43*12/G45</f>
        <v/>
      </c>
      <c r="H46" s="55">
        <f>H43*12/H45</f>
        <v/>
      </c>
      <c r="I46" s="55">
        <f>I43*12/I45</f>
        <v/>
      </c>
      <c r="J46" s="55">
        <f>J43*12/J45</f>
        <v/>
      </c>
      <c r="K46" s="55">
        <f>K43*12/K45</f>
        <v/>
      </c>
      <c r="L46" s="55">
        <f>L43*12/L45</f>
        <v/>
      </c>
      <c r="M46" s="55">
        <f>M43*12/M45</f>
        <v/>
      </c>
    </row>
    <row r="47">
      <c r="A47" s="7" t="inlineStr">
        <is>
          <t>Close rate</t>
        </is>
      </c>
      <c r="B47" s="2" t="inlineStr">
        <is>
          <t>Tab 1 × change</t>
        </is>
      </c>
      <c r="D47" s="58">
        <f>v_win_rate*(1+D18)</f>
        <v/>
      </c>
      <c r="E47" s="58">
        <f>v_win_rate*(1+E18)</f>
        <v/>
      </c>
      <c r="F47" s="58">
        <f>v_win_rate*(1+F18)</f>
        <v/>
      </c>
      <c r="G47" s="58">
        <f>v_win_rate*(1+G18)</f>
        <v/>
      </c>
      <c r="H47" s="58">
        <f>v_win_rate*(1+H18)</f>
        <v/>
      </c>
      <c r="I47" s="58">
        <f>v_win_rate*(1+I18)</f>
        <v/>
      </c>
      <c r="J47" s="58">
        <f>v_win_rate*(1+J18)</f>
        <v/>
      </c>
      <c r="K47" s="58">
        <f>v_win_rate*(1+K18)</f>
        <v/>
      </c>
      <c r="L47" s="58">
        <f>v_win_rate*(1+L18)</f>
        <v/>
      </c>
      <c r="M47" s="58">
        <f>v_win_rate*(1+M18)</f>
        <v/>
      </c>
    </row>
    <row r="48">
      <c r="A48" s="7" t="inlineStr">
        <is>
          <t>Contracts per productive territory</t>
        </is>
      </c>
      <c r="B48" s="2" t="inlineStr">
        <is>
          <t>Resolved × close rate</t>
        </is>
      </c>
      <c r="D48" s="55">
        <f>D46*D47</f>
        <v/>
      </c>
      <c r="E48" s="55">
        <f>E46*E47</f>
        <v/>
      </c>
      <c r="F48" s="55">
        <f>F46*F47</f>
        <v/>
      </c>
      <c r="G48" s="55">
        <f>G46*G47</f>
        <v/>
      </c>
      <c r="H48" s="55">
        <f>H46*H47</f>
        <v/>
      </c>
      <c r="I48" s="55">
        <f>I46*I47</f>
        <v/>
      </c>
      <c r="J48" s="55">
        <f>J46*J47</f>
        <v/>
      </c>
      <c r="K48" s="55">
        <f>K46*K47</f>
        <v/>
      </c>
      <c r="L48" s="55">
        <f>L46*L47</f>
        <v/>
      </c>
      <c r="M48" s="55">
        <f>M46*M47</f>
        <v/>
      </c>
    </row>
    <row r="49">
      <c r="A49" s="7" t="inlineStr">
        <is>
          <t>Average revenue per contract</t>
        </is>
      </c>
      <c r="B49" s="2" t="inlineStr">
        <is>
          <t>Tab 1 × change</t>
        </is>
      </c>
      <c r="D49" s="59">
        <f>v_deal_size*(1+D19)</f>
        <v/>
      </c>
      <c r="E49" s="59">
        <f>v_deal_size*(1+E19)</f>
        <v/>
      </c>
      <c r="F49" s="59">
        <f>v_deal_size*(1+F19)</f>
        <v/>
      </c>
      <c r="G49" s="59">
        <f>v_deal_size*(1+G19)</f>
        <v/>
      </c>
      <c r="H49" s="59">
        <f>v_deal_size*(1+H19)</f>
        <v/>
      </c>
      <c r="I49" s="59">
        <f>v_deal_size*(1+I19)</f>
        <v/>
      </c>
      <c r="J49" s="59">
        <f>v_deal_size*(1+J19)</f>
        <v/>
      </c>
      <c r="K49" s="59">
        <f>v_deal_size*(1+K19)</f>
        <v/>
      </c>
      <c r="L49" s="59">
        <f>v_deal_size*(1+L19)</f>
        <v/>
      </c>
      <c r="M49" s="59">
        <f>v_deal_size*(1+M19)</f>
        <v/>
      </c>
    </row>
    <row r="50">
      <c r="A50" s="7" t="inlineStr">
        <is>
          <t>Revenue per productive territory</t>
        </is>
      </c>
      <c r="B50" s="2" t="inlineStr">
        <is>
          <t>Contracts × revenue per contract</t>
        </is>
      </c>
      <c r="D50" s="59">
        <f>D48*D49</f>
        <v/>
      </c>
      <c r="E50" s="59">
        <f>E48*E49</f>
        <v/>
      </c>
      <c r="F50" s="59">
        <f>F48*F49</f>
        <v/>
      </c>
      <c r="G50" s="59">
        <f>G48*G49</f>
        <v/>
      </c>
      <c r="H50" s="59">
        <f>H48*H49</f>
        <v/>
      </c>
      <c r="I50" s="59">
        <f>I48*I49</f>
        <v/>
      </c>
      <c r="J50" s="59">
        <f>J48*J49</f>
        <v/>
      </c>
      <c r="K50" s="59">
        <f>K48*K49</f>
        <v/>
      </c>
      <c r="L50" s="59">
        <f>L48*L49</f>
        <v/>
      </c>
      <c r="M50" s="59">
        <f>M48*M49</f>
        <v/>
      </c>
    </row>
    <row r="51">
      <c r="A51" s="20" t="inlineStr">
        <is>
          <t>Income statement</t>
        </is>
      </c>
      <c r="B51" s="21" t="n"/>
      <c r="D51" s="21" t="n"/>
      <c r="E51" s="21" t="n"/>
      <c r="F51" s="21" t="n"/>
      <c r="G51" s="21" t="n"/>
      <c r="H51" s="21" t="n"/>
      <c r="I51" s="21" t="n"/>
      <c r="J51" s="21" t="n"/>
      <c r="K51" s="21" t="n"/>
      <c r="L51" s="21" t="n"/>
      <c r="M51" s="21" t="n"/>
    </row>
    <row r="52">
      <c r="A52" s="7" t="inlineStr">
        <is>
          <t>Contracts</t>
        </is>
      </c>
      <c r="B52" s="2" t="inlineStr">
        <is>
          <t>Per territory × productive territory-years</t>
        </is>
      </c>
      <c r="D52" s="60">
        <f>D48*D38</f>
        <v/>
      </c>
      <c r="E52" s="60">
        <f>E48*E38</f>
        <v/>
      </c>
      <c r="F52" s="60">
        <f>F48*F38</f>
        <v/>
      </c>
      <c r="G52" s="60">
        <f>G48*G38</f>
        <v/>
      </c>
      <c r="H52" s="60">
        <f>H48*H38</f>
        <v/>
      </c>
      <c r="I52" s="60">
        <f>I48*I38</f>
        <v/>
      </c>
      <c r="J52" s="60">
        <f>J48*J38</f>
        <v/>
      </c>
      <c r="K52" s="60">
        <f>K48*K38</f>
        <v/>
      </c>
      <c r="L52" s="60">
        <f>L48*L38</f>
        <v/>
      </c>
      <c r="M52" s="60">
        <f>M48*M38</f>
        <v/>
      </c>
    </row>
    <row r="53">
      <c r="A53" s="6" t="inlineStr">
        <is>
          <t>Revenue</t>
        </is>
      </c>
      <c r="B53" s="2" t="inlineStr">
        <is>
          <t>Per territory × productive territory-years</t>
        </is>
      </c>
      <c r="D53" s="61">
        <f>D50*D38</f>
        <v/>
      </c>
      <c r="E53" s="61">
        <f>E50*E38</f>
        <v/>
      </c>
      <c r="F53" s="61">
        <f>F50*F38</f>
        <v/>
      </c>
      <c r="G53" s="61">
        <f>G50*G38</f>
        <v/>
      </c>
      <c r="H53" s="61">
        <f>H50*H38</f>
        <v/>
      </c>
      <c r="I53" s="61">
        <f>I50*I38</f>
        <v/>
      </c>
      <c r="J53" s="61">
        <f>J50*J38</f>
        <v/>
      </c>
      <c r="K53" s="61">
        <f>K50*K38</f>
        <v/>
      </c>
      <c r="L53" s="61">
        <f>L50*L38</f>
        <v/>
      </c>
      <c r="M53" s="61">
        <f>M50*M38</f>
        <v/>
      </c>
    </row>
    <row r="54">
      <c r="A54" s="7" t="inlineStr">
        <is>
          <t>Cost of revenue</t>
        </is>
      </c>
      <c r="B54" s="2" t="inlineStr">
        <is>
          <t>Revenue × tab 1 %</t>
        </is>
      </c>
      <c r="D54" s="59">
        <f>D53*v_cost_of_revenue_pct</f>
        <v/>
      </c>
      <c r="E54" s="59">
        <f>E53*v_cost_of_revenue_pct</f>
        <v/>
      </c>
      <c r="F54" s="59">
        <f>F53*v_cost_of_revenue_pct</f>
        <v/>
      </c>
      <c r="G54" s="59">
        <f>G53*v_cost_of_revenue_pct</f>
        <v/>
      </c>
      <c r="H54" s="59">
        <f>H53*v_cost_of_revenue_pct</f>
        <v/>
      </c>
      <c r="I54" s="59">
        <f>I53*v_cost_of_revenue_pct</f>
        <v/>
      </c>
      <c r="J54" s="59">
        <f>J53*v_cost_of_revenue_pct</f>
        <v/>
      </c>
      <c r="K54" s="59">
        <f>K53*v_cost_of_revenue_pct</f>
        <v/>
      </c>
      <c r="L54" s="59">
        <f>L53*v_cost_of_revenue_pct</f>
        <v/>
      </c>
      <c r="M54" s="59">
        <f>M53*v_cost_of_revenue_pct</f>
        <v/>
      </c>
    </row>
    <row r="55">
      <c r="A55" s="7" t="inlineStr">
        <is>
          <t>Research and development</t>
        </is>
      </c>
      <c r="B55" s="2" t="inlineStr">
        <is>
          <t>Revenue × tab 1 %</t>
        </is>
      </c>
      <c r="D55" s="59">
        <f>D53*v_rnd_pct</f>
        <v/>
      </c>
      <c r="E55" s="59">
        <f>E53*v_rnd_pct</f>
        <v/>
      </c>
      <c r="F55" s="59">
        <f>F53*v_rnd_pct</f>
        <v/>
      </c>
      <c r="G55" s="59">
        <f>G53*v_rnd_pct</f>
        <v/>
      </c>
      <c r="H55" s="59">
        <f>H53*v_rnd_pct</f>
        <v/>
      </c>
      <c r="I55" s="59">
        <f>I53*v_rnd_pct</f>
        <v/>
      </c>
      <c r="J55" s="59">
        <f>J53*v_rnd_pct</f>
        <v/>
      </c>
      <c r="K55" s="59">
        <f>K53*v_rnd_pct</f>
        <v/>
      </c>
      <c r="L55" s="59">
        <f>L53*v_rnd_pct</f>
        <v/>
      </c>
      <c r="M55" s="59">
        <f>M53*v_rnd_pct</f>
        <v/>
      </c>
    </row>
    <row r="56">
      <c r="A56" s="7" t="inlineStr">
        <is>
          <t>General and administrative</t>
        </is>
      </c>
      <c r="B56" s="2" t="inlineStr">
        <is>
          <t>Revenue × tab 1 %</t>
        </is>
      </c>
      <c r="D56" s="59">
        <f>D53*v_gna_pct</f>
        <v/>
      </c>
      <c r="E56" s="59">
        <f>E53*v_gna_pct</f>
        <v/>
      </c>
      <c r="F56" s="59">
        <f>F53*v_gna_pct</f>
        <v/>
      </c>
      <c r="G56" s="59">
        <f>G53*v_gna_pct</f>
        <v/>
      </c>
      <c r="H56" s="59">
        <f>H53*v_gna_pct</f>
        <v/>
      </c>
      <c r="I56" s="59">
        <f>I53*v_gna_pct</f>
        <v/>
      </c>
      <c r="J56" s="59">
        <f>J53*v_gna_pct</f>
        <v/>
      </c>
      <c r="K56" s="59">
        <f>K53*v_gna_pct</f>
        <v/>
      </c>
      <c r="L56" s="59">
        <f>L53*v_gna_pct</f>
        <v/>
      </c>
      <c r="M56" s="59">
        <f>M53*v_gna_pct</f>
        <v/>
      </c>
    </row>
    <row r="57">
      <c r="A57" s="7" t="inlineStr">
        <is>
          <t>Salesperson salaries, load and travel</t>
        </is>
      </c>
      <c r="B57" s="2" t="inlineStr">
        <is>
          <t>(Loaded salary + travel) × salesperson-years paid</t>
        </is>
      </c>
      <c r="D57" s="59">
        <f>(v_loaded_salary*(1+D20)+v_travel_per_salesperson)*D39</f>
        <v/>
      </c>
      <c r="E57" s="59">
        <f>(v_loaded_salary*(1+E20)+v_travel_per_salesperson)*E39</f>
        <v/>
      </c>
      <c r="F57" s="59">
        <f>(v_loaded_salary*(1+F20)+v_travel_per_salesperson)*F39</f>
        <v/>
      </c>
      <c r="G57" s="59">
        <f>(v_loaded_salary*(1+G20)+v_travel_per_salesperson)*G39</f>
        <v/>
      </c>
      <c r="H57" s="59">
        <f>(v_loaded_salary*(1+H20)+v_travel_per_salesperson)*H39</f>
        <v/>
      </c>
      <c r="I57" s="59">
        <f>(v_loaded_salary*(1+I20)+v_travel_per_salesperson)*I39</f>
        <v/>
      </c>
      <c r="J57" s="59">
        <f>(v_loaded_salary*(1+J20)+v_travel_per_salesperson)*J39</f>
        <v/>
      </c>
      <c r="K57" s="59">
        <f>(v_loaded_salary*(1+K20)+v_travel_per_salesperson)*K39</f>
        <v/>
      </c>
      <c r="L57" s="59">
        <f>(v_loaded_salary*(1+L20)+v_travel_per_salesperson)*L39</f>
        <v/>
      </c>
      <c r="M57" s="59">
        <f>(v_loaded_salary*(1+M20)+v_travel_per_salesperson)*M39</f>
        <v/>
      </c>
    </row>
    <row r="58">
      <c r="A58" s="7" t="inlineStr">
        <is>
          <t>Commissions</t>
        </is>
      </c>
      <c r="B58" s="2" t="inlineStr">
        <is>
          <t>Rate × revenue (only on revenue produced)</t>
        </is>
      </c>
      <c r="D58" s="59">
        <f>v_commission_rate*(1+D21)*D53</f>
        <v/>
      </c>
      <c r="E58" s="59">
        <f>v_commission_rate*(1+E21)*E53</f>
        <v/>
      </c>
      <c r="F58" s="59">
        <f>v_commission_rate*(1+F21)*F53</f>
        <v/>
      </c>
      <c r="G58" s="59">
        <f>v_commission_rate*(1+G21)*G53</f>
        <v/>
      </c>
      <c r="H58" s="59">
        <f>v_commission_rate*(1+H21)*H53</f>
        <v/>
      </c>
      <c r="I58" s="59">
        <f>v_commission_rate*(1+I21)*I53</f>
        <v/>
      </c>
      <c r="J58" s="59">
        <f>v_commission_rate*(1+J21)*J53</f>
        <v/>
      </c>
      <c r="K58" s="59">
        <f>v_commission_rate*(1+K21)*K53</f>
        <v/>
      </c>
      <c r="L58" s="59">
        <f>v_commission_rate*(1+L21)*L53</f>
        <v/>
      </c>
      <c r="M58" s="59">
        <f>v_commission_rate*(1+M21)*M53</f>
        <v/>
      </c>
    </row>
    <row r="59">
      <c r="A59" s="7" t="inlineStr">
        <is>
          <t>Sales overhead</t>
        </is>
      </c>
      <c r="B59" s="2" t="inlineStr">
        <is>
          <t>Tab 1 + change</t>
        </is>
      </c>
      <c r="D59" s="59">
        <f>v_sales_overhead+D22</f>
        <v/>
      </c>
      <c r="E59" s="59">
        <f>v_sales_overhead+E22</f>
        <v/>
      </c>
      <c r="F59" s="59">
        <f>v_sales_overhead+F22</f>
        <v/>
      </c>
      <c r="G59" s="59">
        <f>v_sales_overhead+G22</f>
        <v/>
      </c>
      <c r="H59" s="59">
        <f>v_sales_overhead+H22</f>
        <v/>
      </c>
      <c r="I59" s="59">
        <f>v_sales_overhead+I22</f>
        <v/>
      </c>
      <c r="J59" s="59">
        <f>v_sales_overhead+J22</f>
        <v/>
      </c>
      <c r="K59" s="59">
        <f>v_sales_overhead+K22</f>
        <v/>
      </c>
      <c r="L59" s="59">
        <f>v_sales_overhead+L22</f>
        <v/>
      </c>
      <c r="M59" s="59">
        <f>v_sales_overhead+M22</f>
        <v/>
      </c>
    </row>
    <row r="60">
      <c r="A60" s="7" t="inlineStr">
        <is>
          <t>Marketing</t>
        </is>
      </c>
      <c r="B60" s="2" t="inlineStr">
        <is>
          <t>Tab 1 + change</t>
        </is>
      </c>
      <c r="D60" s="59">
        <f>v_marketing+D23</f>
        <v/>
      </c>
      <c r="E60" s="59">
        <f>v_marketing+E23</f>
        <v/>
      </c>
      <c r="F60" s="59">
        <f>v_marketing+F23</f>
        <v/>
      </c>
      <c r="G60" s="59">
        <f>v_marketing+G23</f>
        <v/>
      </c>
      <c r="H60" s="59">
        <f>v_marketing+H23</f>
        <v/>
      </c>
      <c r="I60" s="59">
        <f>v_marketing+I23</f>
        <v/>
      </c>
      <c r="J60" s="59">
        <f>v_marketing+J23</f>
        <v/>
      </c>
      <c r="K60" s="59">
        <f>v_marketing+K23</f>
        <v/>
      </c>
      <c r="L60" s="59">
        <f>v_marketing+L23</f>
        <v/>
      </c>
      <c r="M60" s="59">
        <f>v_marketing+M23</f>
        <v/>
      </c>
    </row>
    <row r="61">
      <c r="A61" s="7" t="inlineStr">
        <is>
          <t>Cost of making the change</t>
        </is>
      </c>
      <c r="B61" s="2" t="inlineStr">
        <is>
          <t>From the change rows</t>
        </is>
      </c>
      <c r="D61" s="59">
        <f>D24</f>
        <v/>
      </c>
      <c r="E61" s="59">
        <f>E24</f>
        <v/>
      </c>
      <c r="F61" s="59">
        <f>F24</f>
        <v/>
      </c>
      <c r="G61" s="59">
        <f>G24</f>
        <v/>
      </c>
      <c r="H61" s="59">
        <f>H24</f>
        <v/>
      </c>
      <c r="I61" s="59">
        <f>I24</f>
        <v/>
      </c>
      <c r="J61" s="59">
        <f>J24</f>
        <v/>
      </c>
      <c r="K61" s="59">
        <f>K24</f>
        <v/>
      </c>
      <c r="L61" s="59">
        <f>L24</f>
        <v/>
      </c>
      <c r="M61" s="59">
        <f>M24</f>
        <v/>
      </c>
    </row>
    <row r="62">
      <c r="A62" s="7" t="inlineStr">
        <is>
          <t>Total costs</t>
        </is>
      </c>
      <c r="B62" s="2" t="inlineStr">
        <is>
          <t>Sum of the lines above</t>
        </is>
      </c>
      <c r="D62" s="59">
        <f>D54+D55+D56+D57+D58+D59+D60+D61</f>
        <v/>
      </c>
      <c r="E62" s="59">
        <f>E54+E55+E56+E57+E58+E59+E60+E61</f>
        <v/>
      </c>
      <c r="F62" s="59">
        <f>F54+F55+F56+F57+F58+F59+F60+F61</f>
        <v/>
      </c>
      <c r="G62" s="59">
        <f>G54+G55+G56+G57+G58+G59+G60+G61</f>
        <v/>
      </c>
      <c r="H62" s="59">
        <f>H54+H55+H56+H57+H58+H59+H60+H61</f>
        <v/>
      </c>
      <c r="I62" s="59">
        <f>I54+I55+I56+I57+I58+I59+I60+I61</f>
        <v/>
      </c>
      <c r="J62" s="59">
        <f>J54+J55+J56+J57+J58+J59+J60+J61</f>
        <v/>
      </c>
      <c r="K62" s="59">
        <f>K54+K55+K56+K57+K58+K59+K60+K61</f>
        <v/>
      </c>
      <c r="L62" s="59">
        <f>L54+L55+L56+L57+L58+L59+L60+L61</f>
        <v/>
      </c>
      <c r="M62" s="59">
        <f>M54+M55+M56+M57+M58+M59+M60+M61</f>
        <v/>
      </c>
    </row>
    <row r="63">
      <c r="A63" s="6" t="inlineStr">
        <is>
          <t>Operating income</t>
        </is>
      </c>
      <c r="B63" s="2" t="inlineStr">
        <is>
          <t>Revenue − total costs</t>
        </is>
      </c>
      <c r="D63" s="61">
        <f>D53-D62</f>
        <v/>
      </c>
      <c r="E63" s="61">
        <f>E53-E62</f>
        <v/>
      </c>
      <c r="F63" s="61">
        <f>F53-F62</f>
        <v/>
      </c>
      <c r="G63" s="61">
        <f>G53-G62</f>
        <v/>
      </c>
      <c r="H63" s="61">
        <f>H53-H62</f>
        <v/>
      </c>
      <c r="I63" s="61">
        <f>I53-I62</f>
        <v/>
      </c>
      <c r="J63" s="61">
        <f>J53-J62</f>
        <v/>
      </c>
      <c r="K63" s="61">
        <f>K53-K62</f>
        <v/>
      </c>
      <c r="L63" s="61">
        <f>L53-L62</f>
        <v/>
      </c>
      <c r="M63" s="61">
        <f>M53-M62</f>
        <v/>
      </c>
    </row>
    <row r="64">
      <c r="A64" s="7" t="inlineStr">
        <is>
          <t>Operating margin</t>
        </is>
      </c>
      <c r="B64" s="2" t="inlineStr">
        <is>
          <t>Operating income ÷ revenue</t>
        </is>
      </c>
      <c r="D64" s="58">
        <f>IFERROR(D63/D53,"")</f>
        <v/>
      </c>
      <c r="E64" s="58">
        <f>IFERROR(E63/E53,"")</f>
        <v/>
      </c>
      <c r="F64" s="58">
        <f>IFERROR(F63/F53,"")</f>
        <v/>
      </c>
      <c r="G64" s="58">
        <f>IFERROR(G63/G53,"")</f>
        <v/>
      </c>
      <c r="H64" s="58">
        <f>IFERROR(H63/H53,"")</f>
        <v/>
      </c>
      <c r="I64" s="58">
        <f>IFERROR(I63/I53,"")</f>
        <v/>
      </c>
      <c r="J64" s="58">
        <f>IFERROR(J63/J53,"")</f>
        <v/>
      </c>
      <c r="K64" s="58">
        <f>IFERROR(K63/K53,"")</f>
        <v/>
      </c>
      <c r="L64" s="58">
        <f>IFERROR(L63/L53,"")</f>
        <v/>
      </c>
      <c r="M64" s="58">
        <f>IFERROR(M63/M53,"")</f>
        <v/>
      </c>
    </row>
    <row r="65">
      <c r="A65" s="20" t="inlineStr">
        <is>
          <t>Change from baseline and true-up</t>
        </is>
      </c>
      <c r="B65" s="21" t="n"/>
      <c r="D65" s="21" t="n"/>
      <c r="E65" s="21" t="n"/>
      <c r="F65" s="21" t="n"/>
      <c r="G65" s="21" t="n"/>
      <c r="H65" s="21" t="n"/>
      <c r="I65" s="21" t="n"/>
      <c r="J65" s="21" t="n"/>
      <c r="K65" s="21" t="n"/>
      <c r="L65" s="21" t="n"/>
      <c r="M65" s="21" t="n"/>
    </row>
    <row r="66">
      <c r="A66" s="7" t="inlineStr">
        <is>
          <t>Change in revenue</t>
        </is>
      </c>
      <c r="B66" s="2" t="inlineStr"/>
      <c r="D66" s="59" t="n"/>
      <c r="E66" s="59">
        <f>E53-$D$53</f>
        <v/>
      </c>
      <c r="F66" s="59">
        <f>F53-$D$53</f>
        <v/>
      </c>
      <c r="G66" s="59">
        <f>G53-$D$53</f>
        <v/>
      </c>
      <c r="H66" s="59">
        <f>H53-$D$53</f>
        <v/>
      </c>
      <c r="I66" s="59">
        <f>I53-$D$53</f>
        <v/>
      </c>
      <c r="J66" s="59">
        <f>J53-$D$53</f>
        <v/>
      </c>
      <c r="K66" s="59">
        <f>K53-$D$53</f>
        <v/>
      </c>
      <c r="L66" s="59">
        <f>L53-$D$53</f>
        <v/>
      </c>
      <c r="M66" s="59">
        <f>M53-$D$53</f>
        <v/>
      </c>
    </row>
    <row r="67">
      <c r="A67" s="7" t="inlineStr">
        <is>
          <t>Change in total costs</t>
        </is>
      </c>
      <c r="B67" s="2" t="inlineStr"/>
      <c r="D67" s="59" t="n"/>
      <c r="E67" s="59">
        <f>E62-$D$62</f>
        <v/>
      </c>
      <c r="F67" s="59">
        <f>F62-$D$62</f>
        <v/>
      </c>
      <c r="G67" s="59">
        <f>G62-$D$62</f>
        <v/>
      </c>
      <c r="H67" s="59">
        <f>H62-$D$62</f>
        <v/>
      </c>
      <c r="I67" s="59">
        <f>I62-$D$62</f>
        <v/>
      </c>
      <c r="J67" s="59">
        <f>J62-$D$62</f>
        <v/>
      </c>
      <c r="K67" s="59">
        <f>K62-$D$62</f>
        <v/>
      </c>
      <c r="L67" s="59">
        <f>L62-$D$62</f>
        <v/>
      </c>
      <c r="M67" s="59">
        <f>M62-$D$62</f>
        <v/>
      </c>
    </row>
    <row r="68">
      <c r="A68" s="6" t="inlineStr">
        <is>
          <t>Change in operating income</t>
        </is>
      </c>
      <c r="B68" s="2" t="inlineStr"/>
      <c r="D68" s="61" t="n"/>
      <c r="E68" s="61">
        <f>E63-$D$63</f>
        <v/>
      </c>
      <c r="F68" s="61">
        <f>F63-$D$63</f>
        <v/>
      </c>
      <c r="G68" s="61">
        <f>G63-$D$63</f>
        <v/>
      </c>
      <c r="H68" s="61">
        <f>H63-$D$63</f>
        <v/>
      </c>
      <c r="I68" s="61">
        <f>I63-$D$63</f>
        <v/>
      </c>
      <c r="J68" s="61">
        <f>J63-$D$63</f>
        <v/>
      </c>
      <c r="K68" s="61">
        <f>K63-$D$63</f>
        <v/>
      </c>
      <c r="L68" s="61">
        <f>L63-$D$63</f>
        <v/>
      </c>
      <c r="M68" s="61">
        <f>M63-$D$63</f>
        <v/>
      </c>
    </row>
    <row r="69">
      <c r="A69" s="7" t="inlineStr">
        <is>
          <t>Change in operating income, %</t>
        </is>
      </c>
      <c r="B69" s="2" t="inlineStr"/>
      <c r="D69" s="62" t="n"/>
      <c r="E69" s="62">
        <f>IFERROR(E68/ABS($D$63),"")</f>
        <v/>
      </c>
      <c r="F69" s="62">
        <f>IFERROR(F68/ABS($D$63),"")</f>
        <v/>
      </c>
      <c r="G69" s="62">
        <f>IFERROR(G68/ABS($D$63),"")</f>
        <v/>
      </c>
      <c r="H69" s="62">
        <f>IFERROR(H68/ABS($D$63),"")</f>
        <v/>
      </c>
      <c r="I69" s="62">
        <f>IFERROR(I68/ABS($D$63),"")</f>
        <v/>
      </c>
      <c r="J69" s="62">
        <f>IFERROR(J68/ABS($D$63),"")</f>
        <v/>
      </c>
      <c r="K69" s="62">
        <f>IFERROR(K68/ABS($D$63),"")</f>
        <v/>
      </c>
      <c r="L69" s="62">
        <f>IFERROR(L68/ABS($D$63),"")</f>
        <v/>
      </c>
      <c r="M69" s="62">
        <f>IFERROR(M68/ABS($D$63),"")</f>
        <v/>
      </c>
    </row>
    <row r="70">
      <c r="A70" s="7" t="inlineStr">
        <is>
          <t>Unexplained difference (must be 0)</t>
        </is>
      </c>
      <c r="B70" s="2" t="inlineStr">
        <is>
          <t>Change in revenue − change in costs − change in operating income</t>
        </is>
      </c>
      <c r="D70" s="59">
        <f>D66-D67-D68</f>
        <v/>
      </c>
      <c r="E70" s="59">
        <f>E66-E67-E68</f>
        <v/>
      </c>
      <c r="F70" s="59">
        <f>F66-F67-F68</f>
        <v/>
      </c>
      <c r="G70" s="59">
        <f>G66-G67-G68</f>
        <v/>
      </c>
      <c r="H70" s="59">
        <f>H66-H67-H68</f>
        <v/>
      </c>
      <c r="I70" s="59">
        <f>I66-I67-I68</f>
        <v/>
      </c>
      <c r="J70" s="59">
        <f>J66-J67-J68</f>
        <v/>
      </c>
      <c r="K70" s="59">
        <f>K66-K67-K68</f>
        <v/>
      </c>
      <c r="L70" s="59">
        <f>L66-L67-L68</f>
        <v/>
      </c>
      <c r="M70" s="59">
        <f>M66-M67-M68</f>
        <v/>
      </c>
    </row>
    <row r="71">
      <c r="A71" s="6" t="inlineStr">
        <is>
          <t>True-up</t>
        </is>
      </c>
      <c r="B71" s="2" t="inlineStr">
        <is>
          <t>Every change in profit is explained by a change in revenue or cost</t>
        </is>
      </c>
      <c r="D71" s="63">
        <f>IF(ABS(D70)&lt;0.5,"Balanced","Check")</f>
        <v/>
      </c>
      <c r="E71" s="63">
        <f>IF(ABS(E70)&lt;0.5,"Balanced","Check")</f>
        <v/>
      </c>
      <c r="F71" s="63">
        <f>IF(ABS(F70)&lt;0.5,"Balanced","Check")</f>
        <v/>
      </c>
      <c r="G71" s="63">
        <f>IF(ABS(G70)&lt;0.5,"Balanced","Check")</f>
        <v/>
      </c>
      <c r="H71" s="63">
        <f>IF(ABS(H70)&lt;0.5,"Balanced","Check")</f>
        <v/>
      </c>
      <c r="I71" s="63">
        <f>IF(ABS(I70)&lt;0.5,"Balanced","Check")</f>
        <v/>
      </c>
      <c r="J71" s="63">
        <f>IF(ABS(J70)&lt;0.5,"Balanced","Check")</f>
        <v/>
      </c>
      <c r="K71" s="63">
        <f>IF(ABS(K70)&lt;0.5,"Balanced","Check")</f>
        <v/>
      </c>
      <c r="L71" s="63">
        <f>IF(ABS(L70)&lt;0.5,"Balanced","Check")</f>
        <v/>
      </c>
      <c r="M71" s="63">
        <f>IF(ABS(M70)&lt;0.5,"Balanced","Check")</f>
        <v/>
      </c>
    </row>
    <row r="72">
      <c r="A72" s="20" t="inlineStr">
        <is>
          <t>Decision measures</t>
        </is>
      </c>
      <c r="B72" s="21" t="n"/>
      <c r="D72" s="21" t="n"/>
      <c r="E72" s="21" t="n"/>
      <c r="F72" s="21" t="n"/>
      <c r="G72" s="21" t="n"/>
      <c r="H72" s="21" t="n"/>
      <c r="I72" s="21" t="n"/>
      <c r="J72" s="21" t="n"/>
      <c r="K72" s="21" t="n"/>
      <c r="L72" s="21" t="n"/>
      <c r="M72" s="21" t="n"/>
    </row>
    <row r="73" ht="28" customHeight="1">
      <c r="A73" s="4" t="inlineStr">
        <is>
          <t>Change in operating income before the cost of making the change</t>
        </is>
      </c>
      <c r="B73" s="2" t="inlineStr"/>
      <c r="D73" s="59" t="n"/>
      <c r="E73" s="59">
        <f>E68+E61</f>
        <v/>
      </c>
      <c r="F73" s="59">
        <f>F68+F61</f>
        <v/>
      </c>
      <c r="G73" s="59">
        <f>G68+G61</f>
        <v/>
      </c>
      <c r="H73" s="59">
        <f>H68+H61</f>
        <v/>
      </c>
      <c r="I73" s="59">
        <f>I68+I61</f>
        <v/>
      </c>
      <c r="J73" s="59">
        <f>J68+J61</f>
        <v/>
      </c>
      <c r="K73" s="59">
        <f>K68+K61</f>
        <v/>
      </c>
      <c r="L73" s="59">
        <f>L68+L61</f>
        <v/>
      </c>
      <c r="M73" s="59">
        <f>M68+M61</f>
        <v/>
      </c>
    </row>
    <row r="74" ht="28" customHeight="1">
      <c r="A74" s="64" t="inlineStr">
        <is>
          <t>Most you could spend on this change and still match the comparison scenario</t>
        </is>
      </c>
      <c r="B74" s="2" t="inlineStr">
        <is>
          <t>This scenario's gain before its cost − the comparison scenario's gain</t>
        </is>
      </c>
      <c r="D74" s="61" t="n"/>
      <c r="E74" s="61">
        <f>E73-INDEX($D$73:$M$73,MATCH(wi_compare,$D$7:$M$7,0))</f>
        <v/>
      </c>
      <c r="F74" s="61">
        <f>F73-INDEX($D$73:$M$73,MATCH(wi_compare,$D$7:$M$7,0))</f>
        <v/>
      </c>
      <c r="G74" s="61">
        <f>G73-INDEX($D$73:$M$73,MATCH(wi_compare,$D$7:$M$7,0))</f>
        <v/>
      </c>
      <c r="H74" s="61">
        <f>H73-INDEX($D$73:$M$73,MATCH(wi_compare,$D$7:$M$7,0))</f>
        <v/>
      </c>
      <c r="I74" s="61">
        <f>I73-INDEX($D$73:$M$73,MATCH(wi_compare,$D$7:$M$7,0))</f>
        <v/>
      </c>
      <c r="J74" s="61">
        <f>J73-INDEX($D$73:$M$73,MATCH(wi_compare,$D$7:$M$7,0))</f>
        <v/>
      </c>
      <c r="K74" s="61">
        <f>K73-INDEX($D$73:$M$73,MATCH(wi_compare,$D$7:$M$7,0))</f>
        <v/>
      </c>
      <c r="L74" s="61">
        <f>L73-INDEX($D$73:$M$73,MATCH(wi_compare,$D$7:$M$7,0))</f>
        <v/>
      </c>
      <c r="M74" s="61">
        <f>M73-INDEX($D$73:$M$73,MATCH(wi_compare,$D$7:$M$7,0))</f>
        <v/>
      </c>
    </row>
    <row r="75">
      <c r="A75" s="7" t="inlineStr">
        <is>
          <t>Revenue per salesperson-year paid</t>
        </is>
      </c>
      <c r="B75" s="2" t="inlineStr"/>
      <c r="D75" s="59">
        <f>IFERROR(D53/D39,"")</f>
        <v/>
      </c>
      <c r="E75" s="59">
        <f>IFERROR(E53/E39,"")</f>
        <v/>
      </c>
      <c r="F75" s="59">
        <f>IFERROR(F53/F39,"")</f>
        <v/>
      </c>
      <c r="G75" s="59">
        <f>IFERROR(G53/G39,"")</f>
        <v/>
      </c>
      <c r="H75" s="59">
        <f>IFERROR(H53/H39,"")</f>
        <v/>
      </c>
      <c r="I75" s="59">
        <f>IFERROR(I53/I39,"")</f>
        <v/>
      </c>
      <c r="J75" s="59">
        <f>IFERROR(J53/J39,"")</f>
        <v/>
      </c>
      <c r="K75" s="59">
        <f>IFERROR(K53/K39,"")</f>
        <v/>
      </c>
      <c r="L75" s="59">
        <f>IFERROR(L53/L39,"")</f>
        <v/>
      </c>
      <c r="M75" s="59">
        <f>IFERROR(M53/M39,"")</f>
        <v/>
      </c>
    </row>
    <row r="76" ht="66" customHeight="1">
      <c r="A76" s="7" t="inlineStr">
        <is>
          <t>Guardrails</t>
        </is>
      </c>
      <c r="B76" s="2" t="inlineStr">
        <is>
          <t>Flags results that leave known reality</t>
        </is>
      </c>
      <c r="D76" s="63">
        <f>IF(D47&gt;1,"Close rate above 100%: not possible",IF(D45&lt;=0,"Cycle must be above zero",IF(AND(D42&lt;&gt;"",D16&lt;&gt;0,D42&gt;D41),"Salespeople would hold more than they can manage: the extra opportunities are not worked",IF(AND(D42&lt;&gt;"",D15&gt;0,D42&lt;=v_opportunities_capacity),"Capacity increase has no effect: salespeople already hold fewer opportunities than they can manage",IF(AND(D42="",D16&lt;&gt;0),"No pipeline data on tab 1: this change has no effect until opportunities held is entered",IF(AND(D28=0,OR(D12&lt;&gt;0,_xlfn.ISFORMULA(D12))),"No open territories entered on tab 1 yet: this change has no effect","OK"))))))</f>
        <v/>
      </c>
      <c r="E76" s="63">
        <f>IF(E47&gt;1,"Close rate above 100%: not possible",IF(E45&lt;=0,"Cycle must be above zero",IF(AND(E42&lt;&gt;"",E16&lt;&gt;0,E42&gt;E41),"Salespeople would hold more than they can manage: the extra opportunities are not worked",IF(AND(E42&lt;&gt;"",E15&gt;0,E42&lt;=v_opportunities_capacity),"Capacity increase has no effect: salespeople already hold fewer opportunities than they can manage",IF(AND(E42="",E16&lt;&gt;0),"No pipeline data on tab 1: this change has no effect until opportunities held is entered",IF(AND(E28=0,OR(E12&lt;&gt;0,_xlfn.ISFORMULA(E12))),"No open territories entered on tab 1 yet: this change has no effect","OK"))))))</f>
        <v/>
      </c>
      <c r="F76" s="63">
        <f>IF(F47&gt;1,"Close rate above 100%: not possible",IF(F45&lt;=0,"Cycle must be above zero",IF(AND(F42&lt;&gt;"",F16&lt;&gt;0,F42&gt;F41),"Salespeople would hold more than they can manage: the extra opportunities are not worked",IF(AND(F42&lt;&gt;"",F15&gt;0,F42&lt;=v_opportunities_capacity),"Capacity increase has no effect: salespeople already hold fewer opportunities than they can manage",IF(AND(F42="",F16&lt;&gt;0),"No pipeline data on tab 1: this change has no effect until opportunities held is entered",IF(AND(F28=0,OR(F12&lt;&gt;0,_xlfn.ISFORMULA(F12))),"No open territories entered on tab 1 yet: this change has no effect","OK"))))))</f>
        <v/>
      </c>
      <c r="G76" s="63">
        <f>IF(G47&gt;1,"Close rate above 100%: not possible",IF(G45&lt;=0,"Cycle must be above zero",IF(AND(G42&lt;&gt;"",G16&lt;&gt;0,G42&gt;G41),"Salespeople would hold more than they can manage: the extra opportunities are not worked",IF(AND(G42&lt;&gt;"",G15&gt;0,G42&lt;=v_opportunities_capacity),"Capacity increase has no effect: salespeople already hold fewer opportunities than they can manage",IF(AND(G42="",G16&lt;&gt;0),"No pipeline data on tab 1: this change has no effect until opportunities held is entered",IF(AND(G28=0,OR(G12&lt;&gt;0,_xlfn.ISFORMULA(G12))),"No open territories entered on tab 1 yet: this change has no effect","OK"))))))</f>
        <v/>
      </c>
      <c r="H76" s="63">
        <f>IF(H47&gt;1,"Close rate above 100%: not possible",IF(H45&lt;=0,"Cycle must be above zero",IF(AND(H42&lt;&gt;"",H16&lt;&gt;0,H42&gt;H41),"Salespeople would hold more than they can manage: the extra opportunities are not worked",IF(AND(H42&lt;&gt;"",H15&gt;0,H42&lt;=v_opportunities_capacity),"Capacity increase has no effect: salespeople already hold fewer opportunities than they can manage",IF(AND(H42="",H16&lt;&gt;0),"No pipeline data on tab 1: this change has no effect until opportunities held is entered",IF(AND(H28=0,OR(H12&lt;&gt;0,_xlfn.ISFORMULA(H12))),"No open territories entered on tab 1 yet: this change has no effect","OK"))))))</f>
        <v/>
      </c>
      <c r="I76" s="63">
        <f>IF(I47&gt;1,"Close rate above 100%: not possible",IF(I45&lt;=0,"Cycle must be above zero",IF(AND(I42&lt;&gt;"",I16&lt;&gt;0,I42&gt;I41),"Salespeople would hold more than they can manage: the extra opportunities are not worked",IF(AND(I42&lt;&gt;"",I15&gt;0,I42&lt;=v_opportunities_capacity),"Capacity increase has no effect: salespeople already hold fewer opportunities than they can manage",IF(AND(I42="",I16&lt;&gt;0),"No pipeline data on tab 1: this change has no effect until opportunities held is entered",IF(AND(I28=0,OR(I12&lt;&gt;0,_xlfn.ISFORMULA(I12))),"No open territories entered on tab 1 yet: this change has no effect","OK"))))))</f>
        <v/>
      </c>
      <c r="J76" s="63">
        <f>IF(J47&gt;1,"Close rate above 100%: not possible",IF(J45&lt;=0,"Cycle must be above zero",IF(AND(J42&lt;&gt;"",J16&lt;&gt;0,J42&gt;J41),"Salespeople would hold more than they can manage: the extra opportunities are not worked",IF(AND(J42&lt;&gt;"",J15&gt;0,J42&lt;=v_opportunities_capacity),"Capacity increase has no effect: salespeople already hold fewer opportunities than they can manage",IF(AND(J42="",J16&lt;&gt;0),"No pipeline data on tab 1: this change has no effect until opportunities held is entered",IF(AND(J28=0,OR(J12&lt;&gt;0,_xlfn.ISFORMULA(J12))),"No open territories entered on tab 1 yet: this change has no effect","OK"))))))</f>
        <v/>
      </c>
      <c r="K76" s="63">
        <f>IF(K47&gt;1,"Close rate above 100%: not possible",IF(K45&lt;=0,"Cycle must be above zero",IF(AND(K42&lt;&gt;"",K16&lt;&gt;0,K42&gt;K41),"Salespeople would hold more than they can manage: the extra opportunities are not worked",IF(AND(K42&lt;&gt;"",K15&gt;0,K42&lt;=v_opportunities_capacity),"Capacity increase has no effect: salespeople already hold fewer opportunities than they can manage",IF(AND(K42="",K16&lt;&gt;0),"No pipeline data on tab 1: this change has no effect until opportunities held is entered",IF(AND(K28=0,OR(K12&lt;&gt;0,_xlfn.ISFORMULA(K12))),"No open territories entered on tab 1 yet: this change has no effect","OK"))))))</f>
        <v/>
      </c>
      <c r="L76" s="63">
        <f>IF(L47&gt;1,"Close rate above 100%: not possible",IF(L45&lt;=0,"Cycle must be above zero",IF(AND(L42&lt;&gt;"",L16&lt;&gt;0,L42&gt;L41),"Salespeople would hold more than they can manage: the extra opportunities are not worked",IF(AND(L42&lt;&gt;"",L15&gt;0,L42&lt;=v_opportunities_capacity),"Capacity increase has no effect: salespeople already hold fewer opportunities than they can manage",IF(AND(L42="",L16&lt;&gt;0),"No pipeline data on tab 1: this change has no effect until opportunities held is entered",IF(AND(L28=0,OR(L12&lt;&gt;0,_xlfn.ISFORMULA(L12))),"No open territories entered on tab 1 yet: this change has no effect","OK"))))))</f>
        <v/>
      </c>
      <c r="M76" s="63">
        <f>IF(M47&gt;1,"Close rate above 100%: not possible",IF(M45&lt;=0,"Cycle must be above zero",IF(AND(M42&lt;&gt;"",M16&lt;&gt;0,M42&gt;M41),"Salespeople would hold more than they can manage: the extra opportunities are not worked",IF(AND(M42&lt;&gt;"",M15&gt;0,M42&lt;=v_opportunities_capacity),"Capacity increase has no effect: salespeople already hold fewer opportunities than they can manage",IF(AND(M42="",M16&lt;&gt;0),"No pipeline data on tab 1: this change has no effect until opportunities held is entered",IF(AND(M28=0,OR(M12&lt;&gt;0,_xlfn.ISFORMULA(M12))),"No open territories entered on tab 1 yet: this change has no effect","OK"))))))</f>
        <v/>
      </c>
    </row>
  </sheetData>
  <mergeCells count="1">
    <mergeCell ref="A2:M2"/>
  </mergeCells>
  <conditionalFormatting sqref="D71:M71">
    <cfRule type="cellIs" priority="1" operator="equal" dxfId="0">
      <formula>"Balanced"</formula>
    </cfRule>
    <cfRule type="cellIs" priority="2" operator="equal" dxfId="1">
      <formula>"Check"</formula>
    </cfRule>
  </conditionalFormatting>
  <conditionalFormatting sqref="D76:M76">
    <cfRule type="expression" priority="3" dxfId="1">
      <formula>D76&lt;&gt;"OK"</formula>
    </cfRule>
  </conditionalFormatting>
  <dataValidations count="2">
    <dataValidation sqref="B4" showDropDown="0" showInputMessage="0" showErrorMessage="0" allowBlank="0" type="list">
      <formula1>"Year one,Steady state"</formula1>
    </dataValidation>
    <dataValidation sqref="B5" showDropDown="0" showInputMessage="0" showErrorMessage="0" allowBlank="0" type="list">
      <formula1>$E$7:$M$7</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Commercial Effectiveness Model</dc:title>
  <dcterms:created xsi:type="dcterms:W3CDTF">2026-10-25T05:42:55Z</dcterms:created>
  <dcterms:modified xsi:type="dcterms:W3CDTF">2026-10-25T05:42:55Z</dcterms:modified>
</cp:coreProperties>
</file>