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ientation" sheetId="1" state="visible" r:id="rId1"/>
    <sheet name="1) Data Entry" sheetId="2" state="visible" r:id="rId2"/>
  </sheets>
  <definedNames>
    <definedName name="v_scope_business">'1) Data Entry'!$G$11</definedName>
    <definedName name="v_period_start">'1) Data Entry'!$G$12</definedName>
    <definedName name="v_period_end">'1) Data Entry'!$G$13</definedName>
    <definedName name="v_currency">'1) Data Entry'!$G$14</definedName>
    <definedName name="v_revenue_basis">'1) Data Entry'!$G$15</definedName>
    <definedName name="v_segmentation_basis">'1) Data Entry'!$G$17</definedName>
    <definedName name="v_theory_of_buying">'1) Data Entry'!$G$18</definedName>
    <definedName name="v_system_goal">'1) Data Entry'!$G$19</definedName>
    <definedName name="v_revenue">'1) Data Entry'!$G$21</definedName>
    <definedName name="v_contracts">'1) Data Entry'!$G$22</definedName>
    <definedName name="v_plan_target">'1) Data Entry'!$G$23</definedName>
    <definedName name="v_cost_of_revenue_amt">'1) Data Entry'!$G$24</definedName>
    <definedName name="v_rnd_amt">'1) Data Entry'!$G$25</definedName>
    <definedName name="v_gna_amt">'1) Data Entry'!$G$26</definedName>
    <definedName name="v_cost_of_revenue_pct">'1) Data Entry'!$G$27</definedName>
    <definedName name="v_rnd_pct">'1) Data Entry'!$G$28</definedName>
    <definedName name="v_gna_pct">'1) Data Entry'!$G$29</definedName>
    <definedName name="v_base_salary">'1) Data Entry'!$G$31</definedName>
    <definedName name="v_load_rate">'1) Data Entry'!$G$32</definedName>
    <definedName name="v_loaded_salary">'1) Data Entry'!$G$33</definedName>
    <definedName name="v_trip_fare">'1) Data Entry'!$G$34</definedName>
    <definedName name="v_trip_ground">'1) Data Entry'!$G$35</definedName>
    <definedName name="v_trip_meals">'1) Data Entry'!$G$36</definedName>
    <definedName name="v_trip_lodging">'1) Data Entry'!$G$37</definedName>
    <definedName name="v_trip_days">'1) Data Entry'!$G$38</definedName>
    <definedName name="v_trip_entertainment">'1) Data Entry'!$G$39</definedName>
    <definedName name="v_trips_per_year">'1) Data Entry'!$G$40</definedName>
    <definedName name="v_travel_per_salesperson">'1) Data Entry'!$G$41</definedName>
    <definedName name="v_oh_managers">'1) Data Entry'!$G$42</definedName>
    <definedName name="v_oh_engineers">'1) Data Entry'!$G$43</definedName>
    <definedName name="v_oh_admin">'1) Data Entry'!$G$44</definedName>
    <definedName name="v_oh_training">'1) Data Entry'!$G$45</definedName>
    <definedName name="v_oh_incentives">'1) Data Entry'!$G$46</definedName>
    <definedName name="v_sales_overhead">'1) Data Entry'!$G$47</definedName>
    <definedName name="v_mk_people">'1) Data Entry'!$G$48</definedName>
    <definedName name="v_mk_web">'1) Data Entry'!$G$49</definedName>
    <definedName name="v_mk_events">'1) Data Entry'!$G$50</definedName>
    <definedName name="v_mk_ads">'1) Data Entry'!$G$51</definedName>
    <definedName name="v_mk_mail">'1) Data Entry'!$G$52</definedName>
    <definedName name="v_mk_leadgen">'1) Data Entry'!$G$53</definedName>
    <definedName name="v_mk_brand">'1) Data Entry'!$G$54</definedName>
    <definedName name="v_mk_collateral">'1) Data Entry'!$G$55</definedName>
    <definedName name="v_marketing">'1) Data Entry'!$G$56</definedName>
    <definedName name="v_commissions_paid">'1) Data Entry'!$G$57</definedName>
    <definedName name="v_sales_comp_expense">'1) Data Entry'!$G$58</definedName>
    <definedName name="v_filled_seats">'1) Data Entry'!$G$60</definedName>
    <definedName name="v_hires">'1) Data Entry'!$G$61</definedName>
    <definedName name="v_departures">'1) Data Entry'!$G$62</definedName>
    <definedName name="v_productive_salespeople">'1) Data Entry'!$G$63</definedName>
    <definedName name="v_territory_count">'1) Data Entry'!$G$65</definedName>
    <definedName name="v_open_territories">'1) Data Entry'!$G$66</definedName>
    <definedName name="v_expected_yield">'1) Data Entry'!$G$67</definedName>
    <definedName name="v_opps_won">'1) Data Entry'!$G$69</definedName>
    <definedName name="v_opps_lost">'1) Data Entry'!$G$70</definedName>
    <definedName name="v_win_rate">'1) Data Entry'!$G$71</definedName>
    <definedName name="v_cycle_months">'1) Data Entry'!$G$72</definedName>
    <definedName name="v_deal_size">'1) Data Entry'!$G$73</definedName>
    <definedName name="v_open_opps_total">'1) Data Entry'!$G$74</definedName>
    <definedName name="v_opportunities_load">'1) Data Entry'!$G$75</definedName>
    <definedName name="v_opportunities_capacity">'1) Data Entry'!$G$76</definedName>
    <definedName name="v_commission_rate">'1) Data Entry'!$G$78</definedName>
    <definedName name="v_ramp_months">'1) Data Entry'!$G$80</definedName>
    <definedName name="v_time_to_fill_days">'1) Data Entry'!$G$81</definedName>
    <definedName name="v_approval_days">'1) Data Entry'!$G$82</definedName>
    <definedName name="v_qualification_definition">'1) Data Entry'!$G$84</definedName>
    <definedName name="v_hiring_approval_rule">'1) Data Entry'!$G$85</definedName>
    <definedName name="v_design_authority">'1) Data Entry'!$G$86</definedName>
    <definedName name="_xlnm.Print_Titles" localSheetId="1">'1) Data Entry'!$9:$9</definedName>
  </definedNames>
  <calcPr calcId="124519" fullCalcOnLoad="1"/>
</workbook>
</file>

<file path=xl/styles.xml><?xml version="1.0" encoding="utf-8"?>
<styleSheet xmlns="http://schemas.openxmlformats.org/spreadsheetml/2006/main">
  <numFmts count="6">
    <numFmt numFmtId="164" formatCode="yyyy-mm-dd"/>
    <numFmt numFmtId="165" formatCode="$#,##0;($#,##0);&quot;-&quot;"/>
    <numFmt numFmtId="166" formatCode="+0%;-0%;0%"/>
    <numFmt numFmtId="167" formatCode="0.0%"/>
    <numFmt numFmtId="168" formatCode="#,##0.0"/>
    <numFmt numFmtId="169" formatCode="0.0"/>
  </numFmts>
  <fonts count="10">
    <font>
      <name val="Calibri"/>
      <family val="2"/>
      <color theme="1"/>
      <sz val="11"/>
      <scheme val="minor"/>
    </font>
    <font>
      <name val="Arial"/>
      <b val="1"/>
      <sz val="16"/>
    </font>
    <font>
      <name val="Arial"/>
      <i val="1"/>
      <color rgb="00595959"/>
      <sz val="9"/>
    </font>
    <font>
      <name val="Arial"/>
      <b val="1"/>
      <sz val="12"/>
    </font>
    <font>
      <name val="Arial"/>
      <sz val="10"/>
    </font>
    <font>
      <name val="Arial"/>
      <b val="1"/>
      <sz val="10"/>
    </font>
    <font>
      <name val="Arial"/>
      <b val="1"/>
      <color rgb="00FFFFFF"/>
      <sz val="10"/>
    </font>
    <font>
      <name val="Arial"/>
      <color rgb="000000FF"/>
      <sz val="10"/>
    </font>
    <font>
      <name val="Arial"/>
      <b val="1"/>
      <color rgb="000000FF"/>
      <sz val="10"/>
    </font>
    <font>
      <name val="Arial"/>
      <color rgb="00404040"/>
      <sz val="10"/>
    </font>
  </fonts>
  <fills count="8">
    <fill>
      <patternFill/>
    </fill>
    <fill>
      <patternFill patternType="gray125"/>
    </fill>
    <fill>
      <patternFill patternType="solid">
        <fgColor rgb="00FFF2CC"/>
      </patternFill>
    </fill>
    <fill>
      <patternFill patternType="solid">
        <fgColor rgb="00F2F2F2"/>
      </patternFill>
    </fill>
    <fill>
      <patternFill patternType="solid">
        <fgColor rgb="00DDEBF7"/>
      </patternFill>
    </fill>
    <fill>
      <patternFill patternType="solid">
        <fgColor rgb="001F3864"/>
      </patternFill>
    </fill>
    <fill>
      <patternFill patternType="solid">
        <fgColor rgb="00FCE4D6"/>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left style="medium">
        <color rgb="001F3864"/>
      </left>
      <right style="medium">
        <color rgb="001F3864"/>
      </right>
      <top style="thin">
        <color rgb="00BFBFBF"/>
      </top>
      <bottom style="thin">
        <color rgb="00BFBFBF"/>
      </bottom>
    </border>
  </borders>
  <cellStyleXfs count="1">
    <xf numFmtId="0" fontId="0" fillId="0" borderId="0"/>
  </cellStyleXfs>
  <cellXfs count="5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2" borderId="1" pivotButton="0" quotePrefix="0" xfId="0"/>
    <xf numFmtId="0" fontId="5" fillId="0" borderId="0" pivotButton="0" quotePrefix="0" xfId="0"/>
    <xf numFmtId="0" fontId="4" fillId="0" borderId="0" pivotButton="0" quotePrefix="0" xfId="0"/>
    <xf numFmtId="0" fontId="0" fillId="3" borderId="1" pivotButton="0" quotePrefix="0" xfId="0"/>
    <xf numFmtId="0" fontId="0" fillId="4" borderId="1" pivotButton="0" quotePrefix="0" xfId="0"/>
    <xf numFmtId="0" fontId="6" fillId="5" borderId="1" pivotButton="0" quotePrefix="0" xfId="0"/>
    <xf numFmtId="0" fontId="4" fillId="0" borderId="1" applyAlignment="1" pivotButton="0" quotePrefix="0" xfId="0">
      <alignment horizontal="center" vertical="top"/>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7" fillId="2" borderId="1" pivotButton="0" quotePrefix="0" xfId="0"/>
    <xf numFmtId="0" fontId="5" fillId="6" borderId="0" pivotButton="0" quotePrefix="0" xfId="0"/>
    <xf numFmtId="0" fontId="5" fillId="0" borderId="0" applyAlignment="1" pivotButton="0" quotePrefix="0" xfId="0">
      <alignment horizontal="center" vertical="top"/>
    </xf>
    <xf numFmtId="0" fontId="2" fillId="0" borderId="0" applyAlignment="1" pivotButton="0" quotePrefix="0" xfId="0">
      <alignment horizontal="center" vertical="top"/>
    </xf>
    <xf numFmtId="0" fontId="6" fillId="5" borderId="1" applyAlignment="1" pivotButton="0" quotePrefix="0" xfId="0">
      <alignment vertical="center" wrapText="1"/>
    </xf>
    <xf numFmtId="0" fontId="5" fillId="7" borderId="0" pivotButton="0" quotePrefix="0" xfId="0"/>
    <xf numFmtId="0" fontId="0" fillId="7" borderId="0"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49" fontId="8" fillId="2" borderId="2" applyAlignment="1" pivotButton="0" quotePrefix="0" xfId="0">
      <alignment vertical="top" wrapText="1"/>
    </xf>
    <xf numFmtId="164" fontId="8" fillId="2" borderId="2" applyAlignment="1" pivotButton="0" quotePrefix="0" xfId="0">
      <alignment vertical="top" wrapText="1"/>
    </xf>
    <xf numFmtId="0" fontId="7" fillId="2" borderId="1" applyAlignment="1" pivotButton="0" quotePrefix="0" xfId="0">
      <alignment vertical="top" wrapText="1"/>
    </xf>
    <xf numFmtId="49" fontId="5" fillId="4" borderId="2" applyAlignment="1" pivotButton="0" quotePrefix="0" xfId="0">
      <alignment vertical="top" wrapText="1"/>
    </xf>
    <xf numFmtId="49" fontId="7" fillId="2" borderId="1" applyAlignment="1" pivotButton="0" quotePrefix="0" xfId="0">
      <alignment vertical="top" wrapText="1"/>
    </xf>
    <xf numFmtId="0" fontId="4" fillId="3" borderId="1" applyAlignment="1" pivotButton="0" quotePrefix="0" xfId="0">
      <alignment vertical="top" wrapText="1"/>
    </xf>
    <xf numFmtId="165" fontId="5" fillId="4" borderId="2" applyAlignment="1" pivotButton="0" quotePrefix="0" xfId="0">
      <alignment vertical="top" wrapText="1"/>
    </xf>
    <xf numFmtId="165" fontId="7" fillId="2" borderId="1" applyAlignment="1" pivotButton="0" quotePrefix="0" xfId="0">
      <alignment vertical="top" wrapText="1"/>
    </xf>
    <xf numFmtId="166" fontId="4" fillId="3" borderId="1" applyAlignment="1" pivotButton="0" quotePrefix="0" xfId="0">
      <alignment vertical="top" wrapText="1"/>
    </xf>
    <xf numFmtId="3" fontId="5" fillId="4" borderId="2" applyAlignment="1" pivotButton="0" quotePrefix="0" xfId="0">
      <alignment vertical="top" wrapText="1"/>
    </xf>
    <xf numFmtId="3" fontId="7" fillId="2" borderId="1" applyAlignment="1" pivotButton="0" quotePrefix="0" xfId="0">
      <alignment vertical="top" wrapText="1"/>
    </xf>
    <xf numFmtId="0" fontId="9" fillId="0" borderId="1" applyAlignment="1" pivotButton="0" quotePrefix="0" xfId="0">
      <alignment vertical="top" wrapText="1"/>
    </xf>
    <xf numFmtId="167" fontId="5" fillId="4" borderId="2" applyAlignment="1" pivotButton="0" quotePrefix="0" xfId="0">
      <alignment vertical="top" wrapText="1"/>
    </xf>
    <xf numFmtId="167" fontId="7" fillId="2" borderId="1" applyAlignment="1" pivotButton="0" quotePrefix="0" xfId="0">
      <alignment vertical="top" wrapText="1"/>
    </xf>
    <xf numFmtId="167" fontId="4" fillId="3" borderId="1" applyAlignment="1" pivotButton="0" quotePrefix="0" xfId="0">
      <alignment vertical="top" wrapText="1"/>
    </xf>
    <xf numFmtId="165" fontId="4" fillId="3" borderId="1" applyAlignment="1" pivotButton="0" quotePrefix="0" xfId="0">
      <alignment vertical="top" wrapText="1"/>
    </xf>
    <xf numFmtId="168" fontId="5" fillId="4" borderId="2" applyAlignment="1" pivotButton="0" quotePrefix="0" xfId="0">
      <alignment vertical="top" wrapText="1"/>
    </xf>
    <xf numFmtId="168" fontId="7" fillId="2" borderId="1" applyAlignment="1" pivotButton="0" quotePrefix="0" xfId="0">
      <alignment vertical="top" wrapText="1"/>
    </xf>
    <xf numFmtId="168" fontId="4" fillId="3" borderId="1" applyAlignment="1" pivotButton="0" quotePrefix="0" xfId="0">
      <alignment vertical="top" wrapText="1"/>
    </xf>
    <xf numFmtId="169" fontId="5" fillId="4" borderId="2" applyAlignment="1" pivotButton="0" quotePrefix="0" xfId="0">
      <alignment vertical="top" wrapText="1"/>
    </xf>
    <xf numFmtId="169" fontId="7" fillId="2" borderId="1" applyAlignment="1" pivotButton="0" quotePrefix="0" xfId="0">
      <alignment vertical="top" wrapText="1"/>
    </xf>
    <xf numFmtId="9" fontId="7" fillId="2" borderId="1" applyAlignment="1" pivotButton="0" quotePrefix="0" xfId="0">
      <alignment vertical="top" wrapText="1"/>
    </xf>
    <xf numFmtId="0" fontId="5" fillId="0" borderId="1" applyAlignment="1" pivotButton="0" quotePrefix="0" xfId="0">
      <alignment horizontal="center" vertical="top"/>
    </xf>
    <xf numFmtId="166" fontId="0" fillId="3" borderId="1" pivotButton="0" quotePrefix="0" xfId="0"/>
    <xf numFmtId="3" fontId="4" fillId="3" borderId="1" applyAlignment="1" pivotButton="0" quotePrefix="0" xfId="0">
      <alignment vertical="top" wrapText="1"/>
    </xf>
    <xf numFmtId="4" fontId="4" fillId="3" borderId="1" applyAlignment="1" pivotButton="0" quotePrefix="0" xfId="0">
      <alignment vertical="top" wrapText="1"/>
    </xf>
    <xf numFmtId="9" fontId="4" fillId="3" borderId="1" applyAlignment="1" pivotButton="0" quotePrefix="0" xfId="0">
      <alignment vertical="top" wrapText="1"/>
    </xf>
    <xf numFmtId="0" fontId="0" fillId="3"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E62"/>
  <sheetViews>
    <sheetView showGridLines="0" workbookViewId="0">
      <selection activeCell="A1" sqref="A1"/>
    </sheetView>
  </sheetViews>
  <sheetFormatPr baseColWidth="8" defaultRowHeight="15"/>
  <cols>
    <col width="3" customWidth="1" min="1" max="1"/>
    <col width="8" customWidth="1" min="2" max="2"/>
    <col width="26" customWidth="1" min="3" max="3"/>
    <col width="62" customWidth="1" min="4" max="4"/>
    <col width="48" customWidth="1" min="5" max="5"/>
  </cols>
  <sheetData>
    <row r="2" ht="17.5" customHeight="1">
      <c r="B2" s="1" t="inlineStr">
        <is>
          <t>Commercial Effectiveness Model</t>
        </is>
      </c>
    </row>
    <row r="3" ht="17.5" customHeight="1">
      <c r="B3" s="2" t="inlineStr">
        <is>
          <t>© 2000–2026 Growth Enablement. All rights reserved.</t>
        </is>
      </c>
    </row>
    <row r="6" ht="17.5" customHeight="1">
      <c r="B6" s="3" t="inlineStr">
        <is>
          <t>What this model does</t>
        </is>
      </c>
    </row>
    <row r="7" ht="31" customHeight="1">
      <c r="B7" s="4" t="inlineStr">
        <is>
          <t>This model describes how your commercial system works, tests that description against your actual financial results, and then lets you explore what would happen if you changed it.</t>
        </is>
      </c>
    </row>
    <row r="8" ht="44.5" customHeight="1">
      <c r="B8" s="4" t="inlineStr">
        <is>
          <t>It is built on one discipline: lead with your assumptions. Every number you enter is a claim about your business. The model asks you to write each claim down, say where it comes from, and say what would prove it wrong. Then it checks. If anyone later disagrees with a result, you can go straight back to the assumption behind it.</t>
        </is>
      </c>
    </row>
    <row r="10" ht="17.5" customHeight="1">
      <c r="B10" s="3" t="inlineStr">
        <is>
          <t>How the model sees sales capacity</t>
        </is>
      </c>
    </row>
    <row r="11" ht="17.5" customHeight="1">
      <c r="B11" s="4" t="inlineStr">
        <is>
          <t>Two decisions create sales capacity, and they are separate:</t>
        </is>
      </c>
    </row>
    <row r="12" ht="31" customHeight="1">
      <c r="B12" s="4" t="inlineStr">
        <is>
          <t>•  Territories are a design choice. You decide how to divide your market, how many territories to fund, and what you expect each to yield. A territory without a salesperson still carries that expectation, so leaving it open has a cost.</t>
        </is>
      </c>
    </row>
    <row r="13" ht="31" customHeight="1">
      <c r="B13" s="4" t="inlineStr">
        <is>
          <t>•  Salespeople are a hiring choice. A salesperson's capacity is not the hours they work. It is how many opportunities they can hold and advance well at the same time, turned over by the length of your sales cycle.</t>
        </is>
      </c>
    </row>
    <row r="14" ht="31" customHeight="1">
      <c r="B14" s="4" t="inlineStr">
        <is>
          <t>Revenue happens where the two meet: salespeople assigned to territories, converting opportunities at your win rate and deal size, with every cost flowing through to operating income.</t>
        </is>
      </c>
    </row>
    <row r="16" ht="17.5" customHeight="1">
      <c r="B16" s="3" t="inlineStr">
        <is>
          <t>How to use it</t>
        </is>
      </c>
    </row>
    <row r="17" ht="31" customHeight="1">
      <c r="B17" s="4" t="inlineStr">
        <is>
          <t>1.  State your assumptions (1) Data Entry). Work through the steps in order. Each step names who usually owns the data, so you can forward it to them. For every value, choose its input method:</t>
        </is>
      </c>
    </row>
    <row r="18" ht="17.5" customHeight="1">
      <c r="B18" s="4" t="inlineStr">
        <is>
          <t xml:space="preserve">      –  Validated actual: confirmed by your Finance team from your records.</t>
        </is>
      </c>
    </row>
    <row r="19" ht="17.5" customHeight="1">
      <c r="B19" s="4" t="inlineStr">
        <is>
          <t xml:space="preserve">      –  Calculated: produced by the model's calculator from other entries (for example, revenue ÷ contracts).</t>
        </is>
      </c>
    </row>
    <row r="20" ht="17.5" customHeight="1">
      <c r="B20" s="4" t="inlineStr">
        <is>
          <t xml:space="preserve">      –  Reference value: borrowed from another context; say which in the source column.</t>
        </is>
      </c>
    </row>
    <row r="21" ht="31" customHeight="1">
      <c r="B21" s="4" t="inlineStr">
        <is>
          <t xml:space="preserve">      –  Judgment: your best estimate; give a reason and a low–high range. The sales leader's beliefs go here first, before any data is collected.</t>
        </is>
      </c>
    </row>
    <row r="22" ht="44.5" customHeight="1">
      <c r="B22" s="4" t="inlineStr">
        <is>
          <t>2.  Test and calibrate. The model combines your assumptions into what they imply (contracts, revenue, pipeline, compensation expense) and compares that with your actual results in the cross-checks at the end of tab 1. For each one that needs review, revise an assumption, explain the gap, or accept it as a known gap. When the list is resolved, Finance signs off the baseline.</t>
        </is>
      </c>
    </row>
    <row r="23" ht="31" customHeight="1">
      <c r="B23" s="4" t="inlineStr">
        <is>
          <t>3.  Explore what-if scenarios (later tabs). Change assumptions one at a time or in combination: territory design, hiring and fill speed, salesperson capacity, win rate, cycle, deal size, costs. Every change flows through to operating income, with nothing unexplained.</t>
        </is>
      </c>
    </row>
    <row r="24" ht="31" customHeight="1">
      <c r="B24" s="4" t="inlineStr">
        <is>
          <t>4.  Understand what stands in the way (later tabs). For each improvement, review the common obstacles and the conditions that would make it achievable.</t>
        </is>
      </c>
    </row>
    <row r="26" ht="17.5" customHeight="1">
      <c r="B26" s="3" t="inlineStr">
        <is>
          <t>How to read the results</t>
        </is>
      </c>
    </row>
    <row r="27" ht="17.5" customHeight="1">
      <c r="B27" s="4" t="inlineStr">
        <is>
          <t>•  Until Finance signs off, every result is labeled “Working model: not validated by Finance.”</t>
        </is>
      </c>
    </row>
    <row r="28" ht="17.5" customHeight="1">
      <c r="B28" s="4" t="inlineStr">
        <is>
          <t>•  Every result shows how much of it rests on validated actuals and how much on calculations, reference values and judgment.</t>
        </is>
      </c>
    </row>
    <row r="29" ht="17.5" customHeight="1">
      <c r="B29" s="4" t="inlineStr">
        <is>
          <t>•  Results are only as real as the assumptions behind them. To challenge a result, challenge an assumption on tab 1.</t>
        </is>
      </c>
    </row>
    <row r="30" ht="17.5" customHeight="1">
      <c r="B30" s="4" t="inlineStr">
        <is>
          <t>•  Assumptions are revisited each period, so they become more accurate over time.</t>
        </is>
      </c>
    </row>
    <row r="32" ht="17.5" customHeight="1">
      <c r="B32" s="3" t="inlineStr">
        <is>
          <t>What this model is not</t>
        </is>
      </c>
    </row>
    <row r="33" ht="17.5" customHeight="1">
      <c r="B33" s="4" t="inlineStr">
        <is>
          <t>•  Not a forecast. It describes what your system can and does produce under stated assumptions.</t>
        </is>
      </c>
    </row>
    <row r="34" ht="31" customHeight="1">
      <c r="B34" s="4" t="inlineStr">
        <is>
          <t>•  Not an evaluation of individual salespeople. Salespeople are measured as a system, without names, to find improvements in how the system works.</t>
        </is>
      </c>
    </row>
    <row r="35" ht="17.5" customHeight="1">
      <c r="B35" s="4" t="inlineStr">
        <is>
          <t>•  Not a benchmark ranking. Reference values from other contexts can inform assumptions, but your baseline is built from your own reality.</t>
        </is>
      </c>
    </row>
    <row r="37" ht="17.5" customHeight="1">
      <c r="B37" s="3" t="inlineStr">
        <is>
          <t>How tab 1 works</t>
        </is>
      </c>
    </row>
    <row r="38" ht="44.5" customHeight="1">
      <c r="B38" s="4" t="inlineStr">
        <is>
          <t>Each row on tab 1 is one entry. Its “Value used” cell (blue, outlined) is the only cell the rest of the model reads, by name. The yellow cells to its right are the ways to fill it; “Input method” chooses which one is used. Grey cells are calculated from other entries. Changing how an entry is filled never changes the model's logic.</t>
        </is>
      </c>
    </row>
    <row r="39">
      <c r="B39" s="5" t="n"/>
      <c r="C39" s="6" t="inlineStr">
        <is>
          <t>Yellow</t>
        </is>
      </c>
      <c r="D39" s="7" t="inlineStr">
        <is>
          <t>Enter or choose a value</t>
        </is>
      </c>
    </row>
    <row r="40">
      <c r="B40" s="8" t="n"/>
      <c r="C40" s="6" t="inlineStr">
        <is>
          <t>Grey</t>
        </is>
      </c>
      <c r="D40" s="7" t="inlineStr">
        <is>
          <t>Calculated from other entries</t>
        </is>
      </c>
    </row>
    <row r="41">
      <c r="B41" s="9" t="n"/>
      <c r="C41" s="6" t="inlineStr">
        <is>
          <t>Blue, outlined</t>
        </is>
      </c>
      <c r="D41" s="7" t="inlineStr">
        <is>
          <t>Value used: the cell other tabs reference</t>
        </is>
      </c>
    </row>
    <row r="43" ht="17.5" customHeight="1">
      <c r="B43" s="3" t="inlineStr">
        <is>
          <t>Collection sequence: who to ask, in what order</t>
        </is>
      </c>
    </row>
    <row r="44" ht="17.5" customHeight="1">
      <c r="B44" s="2" t="inlineStr">
        <is>
          <t>Steps 3 to 8 can go to their owners at the same time once steps 1 and 2 are done. Steps 9 and 10 need the territory plan.</t>
        </is>
      </c>
    </row>
    <row r="45">
      <c r="B45" s="10" t="inlineStr">
        <is>
          <t>Step</t>
        </is>
      </c>
      <c r="C45" s="10" t="inlineStr">
        <is>
          <t>Owner</t>
        </is>
      </c>
      <c r="D45" s="10" t="inlineStr">
        <is>
          <t>What we ask for</t>
        </is>
      </c>
      <c r="E45" s="10" t="inlineStr">
        <is>
          <t>What it unlocks</t>
        </is>
      </c>
    </row>
    <row r="46" ht="31" customHeight="1">
      <c r="B46" s="11" t="n">
        <v>1</v>
      </c>
      <c r="C46" s="12" t="inlineStr">
        <is>
          <t>Sponsor</t>
        </is>
      </c>
      <c r="D46" s="12" t="inlineStr">
        <is>
          <t>Four answers: period, business in scope, currency, revenue basis</t>
        </is>
      </c>
      <c r="E46" s="12" t="inlineStr">
        <is>
          <t>Every request pre-filled with the same scope</t>
        </is>
      </c>
    </row>
    <row r="47" ht="44.5" customHeight="1">
      <c r="B47" s="11" t="n">
        <v>2</v>
      </c>
      <c r="C47" s="12" t="inlineStr">
        <is>
          <t>Sales leader</t>
        </is>
      </c>
      <c r="D47" s="12" t="inlineStr">
        <is>
          <t>Short questionnaire, no data: how the market is divided, expected yield, win rate, cycle, deal size, opportunities a salesperson can handle, ramp, time to fill</t>
        </is>
      </c>
      <c r="E47" s="12" t="inlineStr">
        <is>
          <t>Sealed beliefs; a working model on day one</t>
        </is>
      </c>
    </row>
    <row r="48" ht="17.5" customHeight="1">
      <c r="B48" s="11" t="n">
        <v>3</v>
      </c>
      <c r="C48" s="12" t="inlineStr">
        <is>
          <t>Finance</t>
        </is>
      </c>
      <c r="D48" s="12" t="inlineStr">
        <is>
          <t>Income statement for the period, and the plan</t>
        </is>
      </c>
      <c r="E48" s="12" t="inlineStr">
        <is>
          <t>Validated revenue, contracts and P&amp;L; the first test of the beliefs</t>
        </is>
      </c>
    </row>
    <row r="49" ht="17.5" customHeight="1">
      <c r="B49" s="11" t="n">
        <v>4</v>
      </c>
      <c r="C49" s="12" t="inlineStr">
        <is>
          <t>Finance</t>
        </is>
      </c>
      <c r="D49" s="12" t="inlineStr">
        <is>
          <t>General ledger detail for sales and marketing cost centers</t>
        </is>
      </c>
      <c r="E49" s="12" t="inlineStr">
        <is>
          <t>Cost per salesperson, commission, overhead, marketing; compensation check</t>
        </is>
      </c>
    </row>
    <row r="50" ht="31" customHeight="1">
      <c r="B50" s="11" t="n">
        <v>5</v>
      </c>
      <c r="C50" s="12" t="inlineStr">
        <is>
          <t>HR</t>
        </is>
      </c>
      <c r="D50" s="12" t="inlineStr">
        <is>
          <t>Roster export of quota-carrying salespeople: start and end dates, role, salary band (no names)</t>
        </is>
      </c>
      <c r="E50" s="12" t="inlineStr">
        <is>
          <t>Filled seats, hires, departures, ramp state</t>
        </is>
      </c>
    </row>
    <row r="51" ht="31" customHeight="1">
      <c r="B51" s="11" t="n">
        <v>6</v>
      </c>
      <c r="C51" s="12" t="inlineStr">
        <is>
          <t>Sales Operations</t>
        </is>
      </c>
      <c r="D51" s="12" t="inlineStr">
        <is>
          <t>Territory list: assigned salesperson or open, expected yield, segment</t>
        </is>
      </c>
      <c r="E51" s="12" t="inlineStr">
        <is>
          <t>Open territories and expected yield vs plan</t>
        </is>
      </c>
    </row>
    <row r="52" ht="31" customHeight="1">
      <c r="B52" s="11" t="n">
        <v>7</v>
      </c>
      <c r="C52" s="12" t="inlineStr">
        <is>
          <t>Sales Operations</t>
        </is>
      </c>
      <c r="D52" s="12" t="inlineStr">
        <is>
          <t>CRM: closed opportunities in the period; month-end open opportunities</t>
        </is>
      </c>
      <c r="E52" s="12" t="inlineStr">
        <is>
          <t>Close rate, cycle, deal size, opportunities held; the belief gap</t>
        </is>
      </c>
    </row>
    <row r="53" ht="17.5" customHeight="1">
      <c r="B53" s="11" t="n">
        <v>8</v>
      </c>
      <c r="C53" s="12" t="inlineStr">
        <is>
          <t>Compensation</t>
        </is>
      </c>
      <c r="D53" s="12" t="inlineStr">
        <is>
          <t>Current compensation plan</t>
        </is>
      </c>
      <c r="E53" s="12" t="inlineStr">
        <is>
          <t>Commission rules checked against commissions paid</t>
        </is>
      </c>
    </row>
    <row r="54" ht="31" customHeight="1">
      <c r="B54" s="11" t="n">
        <v>9</v>
      </c>
      <c r="C54" s="12" t="inlineStr">
        <is>
          <t>HR and Finance</t>
        </is>
      </c>
      <c r="D54" s="12" t="inlineStr">
        <is>
          <t>For each open territory: opened, requisition approved, offer accepted, start</t>
        </is>
      </c>
      <c r="E54" s="12" t="inlineStr">
        <is>
          <t>Cost of open territories and approval time</t>
        </is>
      </c>
    </row>
    <row r="55" ht="31" customHeight="1">
      <c r="B55" s="11" t="n">
        <v>10</v>
      </c>
      <c r="C55" s="12" t="inlineStr">
        <is>
          <t>Sales Ops and Finance</t>
        </is>
      </c>
      <c r="D55" s="12" t="inlineStr">
        <is>
          <t>Qualification rule, hiring approval steps, who can change territory design</t>
        </is>
      </c>
      <c r="E55" s="12" t="inlineStr">
        <is>
          <t>Rules declared, so scenarios can change them</t>
        </is>
      </c>
    </row>
    <row r="56" ht="17.5" customHeight="1">
      <c r="B56" s="11" t="n">
        <v>11</v>
      </c>
      <c r="C56" s="12" t="inlineStr">
        <is>
          <t>Finance lead</t>
        </is>
      </c>
      <c r="D56" s="12" t="inlineStr">
        <is>
          <t>Review the cross-checks and sign off</t>
        </is>
      </c>
      <c r="E56" s="12" t="inlineStr">
        <is>
          <t>The signed baseline</t>
        </is>
      </c>
    </row>
    <row r="58" ht="17.5" customHeight="1">
      <c r="B58" s="3" t="inlineStr">
        <is>
          <t>Workbook map</t>
        </is>
      </c>
    </row>
    <row r="59" ht="17.5" customHeight="1">
      <c r="B59" s="4" t="inlineStr">
        <is>
          <t>•  Orientation: this page.</t>
        </is>
      </c>
    </row>
    <row r="60" ht="17.5" customHeight="1">
      <c r="B60" s="4" t="inlineStr">
        <is>
          <t>•  1) Data Entry: the assumption ledger, in collection order, with cross-checks and sign-off.</t>
        </is>
      </c>
    </row>
    <row r="61" ht="31" customHeight="1">
      <c r="B61" s="4" t="inlineStr">
        <is>
          <t>•  Later tabs (to be rebuilt): performance breakdown, impact on the income statement, scenario diagnostics. They read only the Value used cells on tab 1.</t>
        </is>
      </c>
    </row>
    <row r="62" ht="31" customHeight="1">
      <c r="B62" s="2" t="inlineStr">
        <is>
          <t>For a sharper analysis, run the model separately for each sales channel and product line, and separate new-customer revenue from revenue from existing customers.</t>
        </is>
      </c>
    </row>
  </sheetData>
  <mergeCells count="37">
    <mergeCell ref="B37:E37"/>
    <mergeCell ref="B6:E6"/>
    <mergeCell ref="B30:E30"/>
    <mergeCell ref="B33:E33"/>
    <mergeCell ref="B24:E24"/>
    <mergeCell ref="B20:E20"/>
    <mergeCell ref="B32:E32"/>
    <mergeCell ref="B26:E26"/>
    <mergeCell ref="B35:E35"/>
    <mergeCell ref="B16:E16"/>
    <mergeCell ref="B62:E62"/>
    <mergeCell ref="B7:E7"/>
    <mergeCell ref="B3:E3"/>
    <mergeCell ref="B59:E59"/>
    <mergeCell ref="B22:E22"/>
    <mergeCell ref="B18:E18"/>
    <mergeCell ref="B27:E27"/>
    <mergeCell ref="B43:E43"/>
    <mergeCell ref="B12:E12"/>
    <mergeCell ref="B58:E58"/>
    <mergeCell ref="B21:E21"/>
    <mergeCell ref="B11:E11"/>
    <mergeCell ref="B2:E2"/>
    <mergeCell ref="B14:E14"/>
    <mergeCell ref="B60:E60"/>
    <mergeCell ref="B17:E17"/>
    <mergeCell ref="B23:E23"/>
    <mergeCell ref="B61:E61"/>
    <mergeCell ref="B8:E8"/>
    <mergeCell ref="B13:E13"/>
    <mergeCell ref="B38:E38"/>
    <mergeCell ref="B44:E44"/>
    <mergeCell ref="B29:E29"/>
    <mergeCell ref="B19:E19"/>
    <mergeCell ref="B34:E34"/>
    <mergeCell ref="B10:E10"/>
    <mergeCell ref="B28:E28"/>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7"/>
  <sheetViews>
    <sheetView showGridLines="0" workbookViewId="0">
      <pane xSplit="7" ySplit="9" topLeftCell="H10"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6" customWidth="1" min="3" max="3"/>
    <col width="44" customWidth="1" min="4" max="4"/>
    <col width="9" customWidth="1" min="5" max="5"/>
    <col width="17" customWidth="1" min="6" max="6"/>
    <col width="15" customWidth="1" min="7" max="7"/>
    <col width="15" customWidth="1" min="8" max="8"/>
    <col width="15" customWidth="1" min="9" max="9"/>
    <col width="15" customWidth="1" min="10" max="10"/>
    <col width="16" customWidth="1" min="11" max="11"/>
    <col width="12" customWidth="1" min="12" max="12"/>
    <col width="12" customWidth="1" min="13" max="13"/>
    <col width="34" customWidth="1" min="14" max="14"/>
    <col width="18" customWidth="1" min="15" max="15"/>
    <col width="28" customWidth="1" min="16" max="16"/>
    <col width="36" customWidth="1" min="17" max="17"/>
    <col width="12" customWidth="1" min="18" max="18"/>
    <col width="9" customWidth="1" min="19" max="19"/>
  </cols>
  <sheetData>
    <row r="1">
      <c r="A1" s="13" t="inlineStr">
        <is>
          <t>1) Data Entry: the assumption ledger</t>
        </is>
      </c>
    </row>
    <row r="2">
      <c r="A2" s="14" t="inlineStr">
        <is>
          <t>Each row is one entry. The rest of the model reads only the Value used column. Fill an entry any of the ways offered and choose the one to use in Input method. Work through the steps in order; each names its owner.</t>
        </is>
      </c>
    </row>
    <row r="4">
      <c r="A4" t="inlineStr"/>
      <c r="C4" s="6" t="inlineStr">
        <is>
          <t>Baseline status</t>
        </is>
      </c>
      <c r="D4" s="15" t="inlineStr">
        <is>
          <t>Working model</t>
        </is>
      </c>
      <c r="F4" s="16">
        <f>IF(D4="Signed by Finance","Signed baseline: validated by Finance","Working model: not validated by Finance")</f>
        <v/>
      </c>
    </row>
    <row r="5">
      <c r="C5" s="6" t="inlineStr">
        <is>
          <t>Values in use, by input method</t>
        </is>
      </c>
      <c r="D5" s="17">
        <f>SUMPRODUCT((F17:F86="Validated actual")*(LEN(G17:G86)&gt;0))</f>
        <v/>
      </c>
      <c r="E5" s="17">
        <f>SUMPRODUCT((F17:F86="Calculated")*(LEN(G17:G86)&gt;0))</f>
        <v/>
      </c>
      <c r="F5" s="17">
        <f>SUMPRODUCT((F17:F86="Reference value")*(LEN(G17:G86)&gt;0))</f>
        <v/>
      </c>
      <c r="G5" s="17">
        <f>SUMPRODUCT((F17:F86="Judgment")*(LEN(G17:G86)&gt;0))</f>
        <v/>
      </c>
      <c r="H5" s="17">
        <f>SUMPRODUCT((LEN(F17:F86)&gt;0)*(LEN(G17:G86)=0)*(LEFT(F17:F86,6)&lt;&gt;"Direct"))</f>
        <v/>
      </c>
    </row>
    <row r="6">
      <c r="C6" s="6" t="inlineStr">
        <is>
          <t>Cross-checks</t>
        </is>
      </c>
      <c r="D6" s="17">
        <f>COUNTIF(G90:G97,"PASS")&amp;" pass"</f>
        <v/>
      </c>
      <c r="E6" s="17">
        <f>COUNTIF(G90:G97,"REVIEW")&amp;" review"</f>
        <v/>
      </c>
      <c r="F6" s="17">
        <f>COUNTIF(G90:G97,"NEEDS DATA")&amp;" needs data"</f>
        <v/>
      </c>
    </row>
    <row r="7" ht="14" customHeight="1">
      <c r="D7" s="18" t="inlineStr">
        <is>
          <t>Validated actual</t>
        </is>
      </c>
      <c r="E7" s="18" t="inlineStr">
        <is>
          <t>Calculated</t>
        </is>
      </c>
      <c r="F7" s="18" t="inlineStr">
        <is>
          <t>Reference value</t>
        </is>
      </c>
      <c r="G7" s="18" t="inlineStr">
        <is>
          <t>Judgment</t>
        </is>
      </c>
      <c r="H7" s="18" t="inlineStr">
        <is>
          <t>Waiting for data</t>
        </is>
      </c>
    </row>
    <row r="9" ht="30" customHeight="1">
      <c r="A9" s="19" t="inlineStr">
        <is>
          <t>Step</t>
        </is>
      </c>
      <c r="B9" s="19" t="inlineStr">
        <is>
          <t>ID</t>
        </is>
      </c>
      <c r="C9" s="19" t="inlineStr">
        <is>
          <t>Entry</t>
        </is>
      </c>
      <c r="D9" s="19" t="inlineStr">
        <is>
          <t>What it means</t>
        </is>
      </c>
      <c r="E9" s="19" t="inlineStr">
        <is>
          <t>Unit</t>
        </is>
      </c>
      <c r="F9" s="19" t="inlineStr">
        <is>
          <t>Input method</t>
        </is>
      </c>
      <c r="G9" s="19" t="inlineStr">
        <is>
          <t>Value used</t>
        </is>
      </c>
      <c r="H9" s="19" t="inlineStr">
        <is>
          <t>Validated actual</t>
        </is>
      </c>
      <c r="I9" s="19" t="inlineStr">
        <is>
          <t>Calculated</t>
        </is>
      </c>
      <c r="J9" s="19" t="inlineStr">
        <is>
          <t>Reference value</t>
        </is>
      </c>
      <c r="K9" s="19" t="inlineStr">
        <is>
          <t>Leadership belief (judgment)</t>
        </is>
      </c>
      <c r="L9" s="19" t="inlineStr">
        <is>
          <t>Low</t>
        </is>
      </c>
      <c r="M9" s="19" t="inlineStr">
        <is>
          <t>High</t>
        </is>
      </c>
      <c r="N9" s="19" t="inlineStr">
        <is>
          <t>Source or reference context</t>
        </is>
      </c>
      <c r="O9" s="19" t="inlineStr">
        <is>
          <t>Owner</t>
        </is>
      </c>
      <c r="P9" s="19" t="inlineStr">
        <is>
          <t>Where to find it</t>
        </is>
      </c>
      <c r="Q9" s="19" t="inlineStr">
        <is>
          <t>What would prove it wrong</t>
        </is>
      </c>
      <c r="R9" s="19" t="inlineStr">
        <is>
          <t>Belief vs value used</t>
        </is>
      </c>
      <c r="S9" s="19" t="inlineStr">
        <is>
          <t>Leverage point</t>
        </is>
      </c>
    </row>
    <row r="10">
      <c r="A10" s="20" t="inlineStr">
        <is>
          <t>Step 1. Scope  ·  Owner: Sponsor</t>
        </is>
      </c>
      <c r="B10" s="21" t="n"/>
      <c r="C10" s="21" t="n"/>
      <c r="D10" s="21" t="n"/>
      <c r="E10" s="21" t="n"/>
      <c r="F10" s="21" t="n"/>
      <c r="G10" s="21" t="n"/>
      <c r="H10" s="21" t="n"/>
      <c r="I10" s="21" t="n"/>
      <c r="J10" s="21" t="n"/>
      <c r="K10" s="21" t="n"/>
      <c r="L10" s="21" t="n"/>
      <c r="M10" s="21" t="n"/>
      <c r="N10" s="21" t="n"/>
      <c r="O10" s="21" t="n"/>
      <c r="P10" s="21" t="n"/>
      <c r="Q10" s="21" t="n"/>
      <c r="R10" s="21" t="n"/>
      <c r="S10" s="21" t="n"/>
    </row>
    <row r="11" ht="31" customHeight="1">
      <c r="A11" s="11" t="n">
        <v>1</v>
      </c>
      <c r="B11" s="12" t="inlineStr">
        <is>
          <t>scope_business</t>
        </is>
      </c>
      <c r="C11" s="22" t="inlineStr">
        <is>
          <t>Business in scope</t>
        </is>
      </c>
      <c r="D11" s="12" t="inlineStr">
        <is>
          <t>Whole company, or one channel, product line or sales motion</t>
        </is>
      </c>
      <c r="E11" s="12" t="inlineStr">
        <is>
          <t>text</t>
        </is>
      </c>
      <c r="F11" s="23" t="inlineStr">
        <is>
          <t>Direct entry</t>
        </is>
      </c>
      <c r="G11" s="24" t="inlineStr">
        <is>
          <t>Whole company</t>
        </is>
      </c>
      <c r="H11" s="12" t="n"/>
      <c r="I11" s="12" t="n"/>
      <c r="J11" s="12" t="n"/>
      <c r="K11" s="12" t="n"/>
      <c r="L11" s="12" t="n"/>
      <c r="M11" s="12" t="n"/>
      <c r="N11" s="12" t="inlineStr"/>
      <c r="O11" s="12" t="inlineStr">
        <is>
          <t>Sponsor</t>
        </is>
      </c>
      <c r="P11" s="12" t="inlineStr">
        <is>
          <t>Sponsor decision</t>
        </is>
      </c>
      <c r="Q11" s="12" t="inlineStr"/>
      <c r="R11" s="12" t="n"/>
      <c r="S11" s="11" t="n"/>
    </row>
    <row r="12" ht="31" customHeight="1">
      <c r="A12" s="11" t="n">
        <v>1</v>
      </c>
      <c r="B12" s="12" t="inlineStr">
        <is>
          <t>period_start</t>
        </is>
      </c>
      <c r="C12" s="22" t="inlineStr">
        <is>
          <t>Period start</t>
        </is>
      </c>
      <c r="D12" s="12" t="inlineStr">
        <is>
          <t>First day of the 12-month period every value describes</t>
        </is>
      </c>
      <c r="E12" s="12" t="inlineStr">
        <is>
          <t>date</t>
        </is>
      </c>
      <c r="F12" s="23" t="inlineStr">
        <is>
          <t>Direct entry</t>
        </is>
      </c>
      <c r="G12" s="25" t="n"/>
      <c r="H12" s="12" t="n"/>
      <c r="I12" s="12" t="n"/>
      <c r="J12" s="12" t="n"/>
      <c r="K12" s="12" t="n"/>
      <c r="L12" s="12" t="n"/>
      <c r="M12" s="12" t="n"/>
      <c r="N12" s="12" t="inlineStr"/>
      <c r="O12" s="12" t="inlineStr">
        <is>
          <t>Sponsor</t>
        </is>
      </c>
      <c r="P12" s="12" t="inlineStr">
        <is>
          <t>Sponsor decision</t>
        </is>
      </c>
      <c r="Q12" s="12" t="inlineStr"/>
      <c r="R12" s="12" t="n"/>
      <c r="S12" s="11" t="n"/>
    </row>
    <row r="13" ht="17.5" customHeight="1">
      <c r="A13" s="11" t="n">
        <v>1</v>
      </c>
      <c r="B13" s="12" t="inlineStr">
        <is>
          <t>period_end</t>
        </is>
      </c>
      <c r="C13" s="22" t="inlineStr">
        <is>
          <t>Period end</t>
        </is>
      </c>
      <c r="D13" s="12" t="inlineStr">
        <is>
          <t>Last day of the period</t>
        </is>
      </c>
      <c r="E13" s="12" t="inlineStr">
        <is>
          <t>date</t>
        </is>
      </c>
      <c r="F13" s="23" t="inlineStr">
        <is>
          <t>Direct entry</t>
        </is>
      </c>
      <c r="G13" s="25" t="n"/>
      <c r="H13" s="12" t="n"/>
      <c r="I13" s="12" t="n"/>
      <c r="J13" s="12" t="n"/>
      <c r="K13" s="12" t="n"/>
      <c r="L13" s="12" t="n"/>
      <c r="M13" s="12" t="n"/>
      <c r="N13" s="12" t="inlineStr"/>
      <c r="O13" s="12" t="inlineStr">
        <is>
          <t>Sponsor</t>
        </is>
      </c>
      <c r="P13" s="12" t="inlineStr">
        <is>
          <t>Sponsor decision</t>
        </is>
      </c>
      <c r="Q13" s="12" t="inlineStr"/>
      <c r="R13" s="12" t="n"/>
      <c r="S13" s="11" t="n"/>
    </row>
    <row r="14" ht="17.5" customHeight="1">
      <c r="A14" s="11" t="n">
        <v>1</v>
      </c>
      <c r="B14" s="12" t="inlineStr">
        <is>
          <t>currency</t>
        </is>
      </c>
      <c r="C14" s="22" t="inlineStr">
        <is>
          <t>Currency</t>
        </is>
      </c>
      <c r="D14" s="12" t="inlineStr">
        <is>
          <t>Reporting currency for every money value</t>
        </is>
      </c>
      <c r="E14" s="12" t="inlineStr">
        <is>
          <t>text</t>
        </is>
      </c>
      <c r="F14" s="23" t="inlineStr">
        <is>
          <t>Direct entry</t>
        </is>
      </c>
      <c r="G14" s="24" t="inlineStr">
        <is>
          <t>USD</t>
        </is>
      </c>
      <c r="H14" s="12" t="n"/>
      <c r="I14" s="12" t="n"/>
      <c r="J14" s="12" t="n"/>
      <c r="K14" s="12" t="n"/>
      <c r="L14" s="12" t="n"/>
      <c r="M14" s="12" t="n"/>
      <c r="N14" s="12" t="inlineStr"/>
      <c r="O14" s="12" t="inlineStr">
        <is>
          <t>Sponsor</t>
        </is>
      </c>
      <c r="P14" s="12" t="inlineStr">
        <is>
          <t>Sponsor decision</t>
        </is>
      </c>
      <c r="Q14" s="12" t="inlineStr"/>
      <c r="R14" s="12" t="n"/>
      <c r="S14" s="11" t="n"/>
    </row>
    <row r="15" ht="31" customHeight="1">
      <c r="A15" s="11" t="n">
        <v>1</v>
      </c>
      <c r="B15" s="12" t="inlineStr">
        <is>
          <t>revenue_basis</t>
        </is>
      </c>
      <c r="C15" s="22" t="inlineStr">
        <is>
          <t>Revenue basis</t>
        </is>
      </c>
      <c r="D15" s="12" t="inlineStr">
        <is>
          <t>Recognized revenue or bookings; every revenue value follows it</t>
        </is>
      </c>
      <c r="E15" s="12" t="inlineStr">
        <is>
          <t>text</t>
        </is>
      </c>
      <c r="F15" s="23" t="inlineStr">
        <is>
          <t>Direct entry</t>
        </is>
      </c>
      <c r="G15" s="24" t="inlineStr">
        <is>
          <t>Recognized revenue</t>
        </is>
      </c>
      <c r="H15" s="12" t="n"/>
      <c r="I15" s="12" t="n"/>
      <c r="J15" s="12" t="n"/>
      <c r="K15" s="12" t="n"/>
      <c r="L15" s="12" t="n"/>
      <c r="M15" s="12" t="n"/>
      <c r="N15" s="12" t="inlineStr"/>
      <c r="O15" s="12" t="inlineStr">
        <is>
          <t>Sponsor</t>
        </is>
      </c>
      <c r="P15" s="12" t="inlineStr">
        <is>
          <t>Sponsor decision</t>
        </is>
      </c>
      <c r="Q15" s="12" t="inlineStr"/>
      <c r="R15" s="12" t="n"/>
      <c r="S15" s="11" t="n"/>
    </row>
    <row r="16">
      <c r="A16" s="20" t="inlineStr">
        <is>
          <t>Step 2. Leadership beliefs  ·  Owner: Sales leader  ·  Fill the Leadership belief column for every number below before any data arrives</t>
        </is>
      </c>
      <c r="B16" s="21" t="n"/>
      <c r="C16" s="21" t="n"/>
      <c r="D16" s="21" t="n"/>
      <c r="E16" s="21" t="n"/>
      <c r="F16" s="21" t="n"/>
      <c r="G16" s="21" t="n"/>
      <c r="H16" s="21" t="n"/>
      <c r="I16" s="21" t="n"/>
      <c r="J16" s="21" t="n"/>
      <c r="K16" s="21" t="n"/>
      <c r="L16" s="21" t="n"/>
      <c r="M16" s="21" t="n"/>
      <c r="N16" s="21" t="n"/>
      <c r="O16" s="21" t="n"/>
      <c r="P16" s="21" t="n"/>
      <c r="Q16" s="21" t="n"/>
      <c r="R16" s="21" t="n"/>
      <c r="S16" s="21" t="n"/>
    </row>
    <row r="17" ht="31" customHeight="1">
      <c r="A17" s="11" t="n">
        <v>2</v>
      </c>
      <c r="B17" s="12" t="inlineStr">
        <is>
          <t>segmentation_basis</t>
        </is>
      </c>
      <c r="C17" s="22" t="inlineStr">
        <is>
          <t>How the market is divided into territories</t>
        </is>
      </c>
      <c r="D17" s="12" t="inlineStr">
        <is>
          <t>Geography, industry, company size, named accounts, buyer problem, or a mix</t>
        </is>
      </c>
      <c r="E17" s="12" t="inlineStr">
        <is>
          <t>text</t>
        </is>
      </c>
      <c r="F17" s="26" t="inlineStr">
        <is>
          <t>Judgment</t>
        </is>
      </c>
      <c r="G17" s="27">
        <f>IF(F17="Validated actual",IF(H17="","",H17),IF(F17="Calculated",IF(I17="","",I17),IF(F17="Reference value",IF(J17="","",J17),IF(F17="Judgment",IF(K17="","",K17),""))))</f>
        <v/>
      </c>
      <c r="H17" s="28" t="n"/>
      <c r="I17" s="29" t="n"/>
      <c r="J17" s="28" t="n"/>
      <c r="K17" s="28" t="n"/>
      <c r="L17" s="28" t="n"/>
      <c r="M17" s="28" t="n"/>
      <c r="N17" s="26" t="inlineStr"/>
      <c r="O17" s="12" t="inlineStr">
        <is>
          <t>Sales leader</t>
        </is>
      </c>
      <c r="P17" s="12" t="inlineStr">
        <is>
          <t>Sales leader</t>
        </is>
      </c>
      <c r="Q17" s="12" t="inlineStr">
        <is>
          <t>Territory results differ more within a segment than between segments</t>
        </is>
      </c>
      <c r="R17" s="12" t="n"/>
      <c r="S17" s="11" t="n">
        <v>2</v>
      </c>
    </row>
    <row r="18" ht="31" customHeight="1">
      <c r="A18" s="11" t="n">
        <v>2</v>
      </c>
      <c r="B18" s="12" t="inlineStr">
        <is>
          <t>theory_of_buying</t>
        </is>
      </c>
      <c r="C18" s="22" t="inlineStr">
        <is>
          <t>How our customers buy</t>
        </is>
      </c>
      <c r="D18" s="12" t="inlineStr">
        <is>
          <t>The stated theory of who decides, how, and why</t>
        </is>
      </c>
      <c r="E18" s="12" t="inlineStr">
        <is>
          <t>text</t>
        </is>
      </c>
      <c r="F18" s="26" t="inlineStr">
        <is>
          <t>Judgment</t>
        </is>
      </c>
      <c r="G18" s="27">
        <f>IF(F18="Validated actual",IF(H18="","",H18),IF(F18="Calculated",IF(I18="","",I18),IF(F18="Reference value",IF(J18="","",J18),IF(F18="Judgment",IF(K18="","",K18),""))))</f>
        <v/>
      </c>
      <c r="H18" s="28" t="n"/>
      <c r="I18" s="29" t="n"/>
      <c r="J18" s="28" t="n"/>
      <c r="K18" s="28" t="n"/>
      <c r="L18" s="28" t="n"/>
      <c r="M18" s="28" t="n"/>
      <c r="N18" s="26" t="inlineStr"/>
      <c r="O18" s="12" t="inlineStr">
        <is>
          <t>Sales leader</t>
        </is>
      </c>
      <c r="P18" s="12" t="inlineStr">
        <is>
          <t>Sales leader</t>
        </is>
      </c>
      <c r="Q18" s="12" t="inlineStr">
        <is>
          <t>Won and lost deals do not follow the stated pattern</t>
        </is>
      </c>
      <c r="R18" s="12" t="n"/>
      <c r="S18" s="11" t="n">
        <v>2</v>
      </c>
    </row>
    <row r="19" ht="31" customHeight="1">
      <c r="A19" s="11" t="n">
        <v>2</v>
      </c>
      <c r="B19" s="12" t="inlineStr">
        <is>
          <t>system_goal</t>
        </is>
      </c>
      <c r="C19" s="22" t="inlineStr">
        <is>
          <t>What the sales system is run to maximize</t>
        </is>
      </c>
      <c r="D19" s="12" t="inlineStr">
        <is>
          <t>Bookings, margin, new logos, retention, or another goal</t>
        </is>
      </c>
      <c r="E19" s="12" t="inlineStr">
        <is>
          <t>text</t>
        </is>
      </c>
      <c r="F19" s="26" t="inlineStr">
        <is>
          <t>Judgment</t>
        </is>
      </c>
      <c r="G19" s="27">
        <f>IF(F19="Validated actual",IF(H19="","",H19),IF(F19="Calculated",IF(I19="","",I19),IF(F19="Reference value",IF(J19="","",J19),IF(F19="Judgment",IF(K19="","",K19),""))))</f>
        <v/>
      </c>
      <c r="H19" s="28" t="n"/>
      <c r="I19" s="29" t="n"/>
      <c r="J19" s="28" t="n"/>
      <c r="K19" s="28" t="n"/>
      <c r="L19" s="28" t="n"/>
      <c r="M19" s="28" t="n"/>
      <c r="N19" s="26" t="inlineStr"/>
      <c r="O19" s="12" t="inlineStr">
        <is>
          <t>Sales leader</t>
        </is>
      </c>
      <c r="P19" s="12" t="inlineStr">
        <is>
          <t>Sponsor and sales leader</t>
        </is>
      </c>
      <c r="Q19" s="12" t="inlineStr">
        <is>
          <t>Compensation and reviews reward something else</t>
        </is>
      </c>
      <c r="R19" s="12" t="n"/>
      <c r="S19" s="11" t="n">
        <v>3</v>
      </c>
    </row>
    <row r="20">
      <c r="A20" s="20" t="inlineStr">
        <is>
          <t>Step 3. Financial results  ·  Owner: Finance</t>
        </is>
      </c>
      <c r="B20" s="21" t="n"/>
      <c r="C20" s="21" t="n"/>
      <c r="D20" s="21" t="n"/>
      <c r="E20" s="21" t="n"/>
      <c r="F20" s="21" t="n"/>
      <c r="G20" s="21" t="n"/>
      <c r="H20" s="21" t="n"/>
      <c r="I20" s="21" t="n"/>
      <c r="J20" s="21" t="n"/>
      <c r="K20" s="21" t="n"/>
      <c r="L20" s="21" t="n"/>
      <c r="M20" s="21" t="n"/>
      <c r="N20" s="21" t="n"/>
      <c r="O20" s="21" t="n"/>
      <c r="P20" s="21" t="n"/>
      <c r="Q20" s="21" t="n"/>
      <c r="R20" s="21" t="n"/>
      <c r="S20" s="21" t="n"/>
    </row>
    <row r="21" ht="31" customHeight="1">
      <c r="A21" s="11" t="n">
        <v>3</v>
      </c>
      <c r="B21" s="12" t="inlineStr">
        <is>
          <t>revenue</t>
        </is>
      </c>
      <c r="C21" s="22" t="inlineStr">
        <is>
          <t>Revenue in scope</t>
        </is>
      </c>
      <c r="D21" s="12" t="inlineStr">
        <is>
          <t>Revenue for the period and scope, on the chosen basis</t>
        </is>
      </c>
      <c r="E21" s="12" t="inlineStr">
        <is>
          <t>currency</t>
        </is>
      </c>
      <c r="F21" s="26" t="inlineStr">
        <is>
          <t>Validated actual</t>
        </is>
      </c>
      <c r="G21" s="30">
        <f>IF(F21="Validated actual",IF(H21="","",H21),IF(F21="Calculated",IF(I21="","",I21),IF(F21="Reference value",IF(J21="","",J21),IF(F21="Judgment",IF(K21="","",K21),""))))</f>
        <v/>
      </c>
      <c r="H21" s="31" t="n">
        <v>25000000</v>
      </c>
      <c r="I21" s="29" t="n"/>
      <c r="J21" s="31" t="n"/>
      <c r="K21" s="31" t="n"/>
      <c r="L21" s="31" t="n"/>
      <c r="M21" s="31" t="n"/>
      <c r="N21" s="26" t="inlineStr">
        <is>
          <t>As-is model sample (illustrative)</t>
        </is>
      </c>
      <c r="O21" s="12" t="inlineStr">
        <is>
          <t>Finance</t>
        </is>
      </c>
      <c r="P21" s="12" t="inlineStr">
        <is>
          <t>Income statement or segment report</t>
        </is>
      </c>
      <c r="Q21" s="12" t="inlineStr">
        <is>
          <t>Contracts × deal size, and the capacity chain, should reproduce it</t>
        </is>
      </c>
      <c r="R21" s="32">
        <f>IF(OR(K21="",G21="",F21="Judgment"),"",IFERROR(K21/G21-1,""))</f>
        <v/>
      </c>
      <c r="S21" s="11" t="n">
        <v>12</v>
      </c>
    </row>
    <row r="22" ht="31" customHeight="1">
      <c r="A22" s="11" t="n">
        <v>3</v>
      </c>
      <c r="B22" s="12" t="inlineStr">
        <is>
          <t>contracts</t>
        </is>
      </c>
      <c r="C22" s="22" t="inlineStr">
        <is>
          <t>Contracts closed</t>
        </is>
      </c>
      <c r="D22" s="12" t="inlineStr">
        <is>
          <t>Executed agreements in the period that produced that revenue</t>
        </is>
      </c>
      <c r="E22" s="12" t="inlineStr">
        <is>
          <t>count</t>
        </is>
      </c>
      <c r="F22" s="26" t="inlineStr">
        <is>
          <t>Validated actual</t>
        </is>
      </c>
      <c r="G22" s="33">
        <f>IF(F22="Validated actual",IF(H22="","",H22),IF(F22="Calculated",IF(I22="","",I22),IF(F22="Reference value",IF(J22="","",J22),IF(F22="Judgment",IF(K22="","",K22),""))))</f>
        <v/>
      </c>
      <c r="H22" s="34" t="n">
        <v>755</v>
      </c>
      <c r="I22" s="29" t="n"/>
      <c r="J22" s="34" t="n"/>
      <c r="K22" s="34" t="n"/>
      <c r="L22" s="34" t="n"/>
      <c r="M22" s="34" t="n"/>
      <c r="N22" s="26" t="inlineStr">
        <is>
          <t>As-is model sample (illustrative)</t>
        </is>
      </c>
      <c r="O22" s="12" t="inlineStr">
        <is>
          <t>Finance</t>
        </is>
      </c>
      <c r="P22" s="12" t="inlineStr">
        <is>
          <t>Billing or contract system</t>
        </is>
      </c>
      <c r="Q22" s="12" t="inlineStr">
        <is>
          <t>Won opportunities in the CRM should match</t>
        </is>
      </c>
      <c r="R22" s="32">
        <f>IF(OR(K22="",G22="",F22="Judgment"),"",IFERROR(K22/G22-1,""))</f>
        <v/>
      </c>
      <c r="S22" s="11" t="n">
        <v>12</v>
      </c>
    </row>
    <row r="23" ht="31" customHeight="1">
      <c r="A23" s="11" t="n">
        <v>3</v>
      </c>
      <c r="B23" s="12" t="inlineStr">
        <is>
          <t>plan_target</t>
        </is>
      </c>
      <c r="C23" s="22" t="inlineStr">
        <is>
          <t>Revenue plan</t>
        </is>
      </c>
      <c r="D23" s="12" t="inlineStr">
        <is>
          <t>Revenue the plan expected for the period</t>
        </is>
      </c>
      <c r="E23" s="12" t="inlineStr">
        <is>
          <t>currency</t>
        </is>
      </c>
      <c r="F23" s="26" t="inlineStr">
        <is>
          <t>Validated actual</t>
        </is>
      </c>
      <c r="G23" s="30">
        <f>IF(F23="Validated actual",IF(H23="","",H23),IF(F23="Calculated",IF(I23="","",I23),IF(F23="Reference value",IF(J23="","",J23),IF(F23="Judgment",IF(K23="","",K23),""))))</f>
        <v/>
      </c>
      <c r="H23" s="31" t="n"/>
      <c r="I23" s="29" t="n"/>
      <c r="J23" s="31" t="n"/>
      <c r="K23" s="31" t="n"/>
      <c r="L23" s="31" t="n"/>
      <c r="M23" s="31" t="n"/>
      <c r="N23" s="26" t="inlineStr"/>
      <c r="O23" s="12" t="inlineStr">
        <is>
          <t>Finance</t>
        </is>
      </c>
      <c r="P23" s="12" t="inlineStr">
        <is>
          <t>Annual plan</t>
        </is>
      </c>
      <c r="Q23" s="12" t="inlineStr">
        <is>
          <t>Territories × expected yield per territory should match</t>
        </is>
      </c>
      <c r="R23" s="32">
        <f>IF(OR(K23="",G23="",F23="Judgment"),"",IFERROR(K23/G23-1,""))</f>
        <v/>
      </c>
      <c r="S23" s="11" t="n">
        <v>3</v>
      </c>
    </row>
    <row r="24" ht="17.5" customHeight="1">
      <c r="A24" s="11" t="n">
        <v>3</v>
      </c>
      <c r="B24" s="12" t="inlineStr">
        <is>
          <t>cost_of_revenue_amt</t>
        </is>
      </c>
      <c r="C24" s="35" t="inlineStr">
        <is>
          <t xml:space="preserve">    Cost of revenue</t>
        </is>
      </c>
      <c r="D24" s="12" t="inlineStr">
        <is>
          <t>Direct cost of delivering that revenue</t>
        </is>
      </c>
      <c r="E24" s="12" t="inlineStr">
        <is>
          <t>currency</t>
        </is>
      </c>
      <c r="F24" s="26" t="inlineStr">
        <is>
          <t>Validated actual</t>
        </is>
      </c>
      <c r="G24" s="30">
        <f>IF(F24="Validated actual",IF(H24="","",H24),IF(F24="Calculated",IF(I24="","",I24),IF(F24="Reference value",IF(J24="","",J24),IF(F24="Judgment",IF(K24="","",K24),""))))</f>
        <v/>
      </c>
      <c r="H24" s="31" t="n"/>
      <c r="I24" s="29" t="n"/>
      <c r="J24" s="31" t="n"/>
      <c r="K24" s="31" t="n"/>
      <c r="L24" s="31" t="n"/>
      <c r="M24" s="31" t="n"/>
      <c r="N24" s="26" t="inlineStr"/>
      <c r="O24" s="12" t="inlineStr">
        <is>
          <t>Finance</t>
        </is>
      </c>
      <c r="P24" s="12" t="inlineStr">
        <is>
          <t>Income statement</t>
        </is>
      </c>
      <c r="Q24" s="12" t="inlineStr"/>
      <c r="R24" s="32">
        <f>IF(OR(K24="",G24="",F24="Judgment"),"",IFERROR(K24/G24-1,""))</f>
        <v/>
      </c>
      <c r="S24" s="11" t="n"/>
    </row>
    <row r="25" ht="17.5" customHeight="1">
      <c r="A25" s="11" t="n">
        <v>3</v>
      </c>
      <c r="B25" s="12" t="inlineStr">
        <is>
          <t>rnd_amt</t>
        </is>
      </c>
      <c r="C25" s="35" t="inlineStr">
        <is>
          <t xml:space="preserve">    Research and development</t>
        </is>
      </c>
      <c r="D25" s="12" t="inlineStr">
        <is>
          <t>R&amp;D expense for the period</t>
        </is>
      </c>
      <c r="E25" s="12" t="inlineStr">
        <is>
          <t>currency</t>
        </is>
      </c>
      <c r="F25" s="26" t="inlineStr">
        <is>
          <t>Validated actual</t>
        </is>
      </c>
      <c r="G25" s="30">
        <f>IF(F25="Validated actual",IF(H25="","",H25),IF(F25="Calculated",IF(I25="","",I25),IF(F25="Reference value",IF(J25="","",J25),IF(F25="Judgment",IF(K25="","",K25),""))))</f>
        <v/>
      </c>
      <c r="H25" s="31" t="n"/>
      <c r="I25" s="29" t="n"/>
      <c r="J25" s="31" t="n"/>
      <c r="K25" s="31" t="n"/>
      <c r="L25" s="31" t="n"/>
      <c r="M25" s="31" t="n"/>
      <c r="N25" s="26" t="inlineStr"/>
      <c r="O25" s="12" t="inlineStr">
        <is>
          <t>Finance</t>
        </is>
      </c>
      <c r="P25" s="12" t="inlineStr">
        <is>
          <t>Income statement</t>
        </is>
      </c>
      <c r="Q25" s="12" t="inlineStr"/>
      <c r="R25" s="32">
        <f>IF(OR(K25="",G25="",F25="Judgment"),"",IFERROR(K25/G25-1,""))</f>
        <v/>
      </c>
      <c r="S25" s="11" t="n"/>
    </row>
    <row r="26" ht="17.5" customHeight="1">
      <c r="A26" s="11" t="n">
        <v>3</v>
      </c>
      <c r="B26" s="12" t="inlineStr">
        <is>
          <t>gna_amt</t>
        </is>
      </c>
      <c r="C26" s="35" t="inlineStr">
        <is>
          <t xml:space="preserve">    General and administrative</t>
        </is>
      </c>
      <c r="D26" s="12" t="inlineStr">
        <is>
          <t>G&amp;A expense for the period</t>
        </is>
      </c>
      <c r="E26" s="12" t="inlineStr">
        <is>
          <t>currency</t>
        </is>
      </c>
      <c r="F26" s="26" t="inlineStr">
        <is>
          <t>Validated actual</t>
        </is>
      </c>
      <c r="G26" s="30">
        <f>IF(F26="Validated actual",IF(H26="","",H26),IF(F26="Calculated",IF(I26="","",I26),IF(F26="Reference value",IF(J26="","",J26),IF(F26="Judgment",IF(K26="","",K26),""))))</f>
        <v/>
      </c>
      <c r="H26" s="31" t="n"/>
      <c r="I26" s="29" t="n"/>
      <c r="J26" s="31" t="n"/>
      <c r="K26" s="31" t="n"/>
      <c r="L26" s="31" t="n"/>
      <c r="M26" s="31" t="n"/>
      <c r="N26" s="26" t="inlineStr"/>
      <c r="O26" s="12" t="inlineStr">
        <is>
          <t>Finance</t>
        </is>
      </c>
      <c r="P26" s="12" t="inlineStr">
        <is>
          <t>Income statement</t>
        </is>
      </c>
      <c r="Q26" s="12" t="inlineStr"/>
      <c r="R26" s="32">
        <f>IF(OR(K26="",G26="",F26="Judgment"),"",IFERROR(K26/G26-1,""))</f>
        <v/>
      </c>
      <c r="S26" s="11" t="n"/>
    </row>
    <row r="27" ht="44.5" customHeight="1">
      <c r="A27" s="11" t="n">
        <v>3</v>
      </c>
      <c r="B27" s="12" t="inlineStr">
        <is>
          <t>cost_of_revenue_pct</t>
        </is>
      </c>
      <c r="C27" s="22" t="inlineStr">
        <is>
          <t>Cost of revenue, % of revenue</t>
        </is>
      </c>
      <c r="D27" s="12" t="inlineStr">
        <is>
          <t>Cost of revenue ÷ revenue</t>
        </is>
      </c>
      <c r="E27" s="12" t="inlineStr">
        <is>
          <t>ratio</t>
        </is>
      </c>
      <c r="F27" s="26" t="inlineStr">
        <is>
          <t>Reference value</t>
        </is>
      </c>
      <c r="G27" s="36">
        <f>IF(F27="Validated actual",IF(H27="","",H27),IF(F27="Calculated",IF(I27="","",I27),IF(F27="Reference value",IF(J27="","",J27),IF(F27="Judgment",IF(K27="","",K27),""))))</f>
        <v/>
      </c>
      <c r="H27" s="37" t="n"/>
      <c r="I27" s="38">
        <f>IFERROR(v_cost_of_revenue_amt/v_revenue,"")</f>
        <v/>
      </c>
      <c r="J27" s="37" t="n">
        <v>0.1322</v>
      </c>
      <c r="K27" s="37" t="n"/>
      <c r="L27" s="37" t="n"/>
      <c r="M27" s="37" t="n"/>
      <c r="N27" s="26" t="inlineStr">
        <is>
          <t>Industry average used in the as-is model</t>
        </is>
      </c>
      <c r="O27" s="12" t="inlineStr">
        <is>
          <t>Finance</t>
        </is>
      </c>
      <c r="P27" s="12" t="inlineStr">
        <is>
          <t>Income statement</t>
        </is>
      </c>
      <c r="Q27" s="12" t="inlineStr">
        <is>
          <t>Income statement history shows a different ratio or a fixed component</t>
        </is>
      </c>
      <c r="R27" s="32">
        <f>IF(OR(K27="",G27="",F27="Judgment"),"",IFERROR(K27/G27-1,""))</f>
        <v/>
      </c>
      <c r="S27" s="11" t="n">
        <v>12</v>
      </c>
    </row>
    <row r="28" ht="31" customHeight="1">
      <c r="A28" s="11" t="n">
        <v>3</v>
      </c>
      <c r="B28" s="12" t="inlineStr">
        <is>
          <t>rnd_pct</t>
        </is>
      </c>
      <c r="C28" s="22" t="inlineStr">
        <is>
          <t>R&amp;D, % of revenue</t>
        </is>
      </c>
      <c r="D28" s="12" t="inlineStr">
        <is>
          <t>R&amp;D ÷ revenue</t>
        </is>
      </c>
      <c r="E28" s="12" t="inlineStr">
        <is>
          <t>ratio</t>
        </is>
      </c>
      <c r="F28" s="26" t="inlineStr">
        <is>
          <t>Reference value</t>
        </is>
      </c>
      <c r="G28" s="36">
        <f>IF(F28="Validated actual",IF(H28="","",H28),IF(F28="Calculated",IF(I28="","",I28),IF(F28="Reference value",IF(J28="","",J28),IF(F28="Judgment",IF(K28="","",K28),""))))</f>
        <v/>
      </c>
      <c r="H28" s="37" t="n"/>
      <c r="I28" s="38">
        <f>IFERROR(v_rnd_amt/v_revenue,"")</f>
        <v/>
      </c>
      <c r="J28" s="37" t="n">
        <v>0.1019</v>
      </c>
      <c r="K28" s="37" t="n"/>
      <c r="L28" s="37" t="n"/>
      <c r="M28" s="37" t="n"/>
      <c r="N28" s="26" t="inlineStr">
        <is>
          <t>Industry average used in the as-is model</t>
        </is>
      </c>
      <c r="O28" s="12" t="inlineStr">
        <is>
          <t>Finance</t>
        </is>
      </c>
      <c r="P28" s="12" t="inlineStr">
        <is>
          <t>Income statement</t>
        </is>
      </c>
      <c r="Q28" s="12" t="inlineStr">
        <is>
          <t>R&amp;D does not move with revenue</t>
        </is>
      </c>
      <c r="R28" s="32">
        <f>IF(OR(K28="",G28="",F28="Judgment"),"",IFERROR(K28/G28-1,""))</f>
        <v/>
      </c>
      <c r="S28" s="11" t="n">
        <v>12</v>
      </c>
    </row>
    <row r="29" ht="31" customHeight="1">
      <c r="A29" s="11" t="n">
        <v>3</v>
      </c>
      <c r="B29" s="12" t="inlineStr">
        <is>
          <t>gna_pct</t>
        </is>
      </c>
      <c r="C29" s="22" t="inlineStr">
        <is>
          <t>G&amp;A, % of revenue</t>
        </is>
      </c>
      <c r="D29" s="12" t="inlineStr">
        <is>
          <t>G&amp;A ÷ revenue</t>
        </is>
      </c>
      <c r="E29" s="12" t="inlineStr">
        <is>
          <t>ratio</t>
        </is>
      </c>
      <c r="F29" s="26" t="inlineStr">
        <is>
          <t>Reference value</t>
        </is>
      </c>
      <c r="G29" s="36">
        <f>IF(F29="Validated actual",IF(H29="","",H29),IF(F29="Calculated",IF(I29="","",I29),IF(F29="Reference value",IF(J29="","",J29),IF(F29="Judgment",IF(K29="","",K29),""))))</f>
        <v/>
      </c>
      <c r="H29" s="37" t="n"/>
      <c r="I29" s="38">
        <f>IFERROR(v_gna_amt/v_revenue,"")</f>
        <v/>
      </c>
      <c r="J29" s="37" t="n">
        <v>0.154</v>
      </c>
      <c r="K29" s="37" t="n"/>
      <c r="L29" s="37" t="n"/>
      <c r="M29" s="37" t="n"/>
      <c r="N29" s="26" t="inlineStr">
        <is>
          <t>Industry average used in the as-is model</t>
        </is>
      </c>
      <c r="O29" s="12" t="inlineStr">
        <is>
          <t>Finance</t>
        </is>
      </c>
      <c r="P29" s="12" t="inlineStr">
        <is>
          <t>Income statement</t>
        </is>
      </c>
      <c r="Q29" s="12" t="inlineStr">
        <is>
          <t>G&amp;A does not move with revenue</t>
        </is>
      </c>
      <c r="R29" s="32">
        <f>IF(OR(K29="",G29="",F29="Judgment"),"",IFERROR(K29/G29-1,""))</f>
        <v/>
      </c>
      <c r="S29" s="11" t="n">
        <v>12</v>
      </c>
    </row>
    <row r="30">
      <c r="A30" s="20" t="inlineStr">
        <is>
          <t>Step 4. Sales and marketing cost detail  ·  Owner: Finance</t>
        </is>
      </c>
      <c r="B30" s="21" t="n"/>
      <c r="C30" s="21" t="n"/>
      <c r="D30" s="21" t="n"/>
      <c r="E30" s="21" t="n"/>
      <c r="F30" s="21" t="n"/>
      <c r="G30" s="21" t="n"/>
      <c r="H30" s="21" t="n"/>
      <c r="I30" s="21" t="n"/>
      <c r="J30" s="21" t="n"/>
      <c r="K30" s="21" t="n"/>
      <c r="L30" s="21" t="n"/>
      <c r="M30" s="21" t="n"/>
      <c r="N30" s="21" t="n"/>
      <c r="O30" s="21" t="n"/>
      <c r="P30" s="21" t="n"/>
      <c r="Q30" s="21" t="n"/>
      <c r="R30" s="21" t="n"/>
      <c r="S30" s="21" t="n"/>
    </row>
    <row r="31" ht="44.5" customHeight="1">
      <c r="A31" s="11" t="n">
        <v>4</v>
      </c>
      <c r="B31" s="12" t="inlineStr">
        <is>
          <t>base_salary</t>
        </is>
      </c>
      <c r="C31" s="35" t="inlineStr">
        <is>
          <t xml:space="preserve">    Average base salary per salesperson</t>
        </is>
      </c>
      <c r="D31" s="12" t="inlineStr">
        <is>
          <t>Base pay of quota-carrying salespeople only; excludes managers, sales engineers and executives</t>
        </is>
      </c>
      <c r="E31" s="12" t="inlineStr">
        <is>
          <t>currency</t>
        </is>
      </c>
      <c r="F31" s="26" t="inlineStr">
        <is>
          <t>Reference value</t>
        </is>
      </c>
      <c r="G31" s="30">
        <f>IF(F31="Validated actual",IF(H31="","",H31),IF(F31="Calculated",IF(I31="","",I31),IF(F31="Reference value",IF(J31="","",J31),IF(F31="Judgment",IF(K31="","",K31),""))))</f>
        <v/>
      </c>
      <c r="H31" s="31" t="n"/>
      <c r="I31" s="29" t="n"/>
      <c r="J31" s="31" t="n">
        <v>95000</v>
      </c>
      <c r="K31" s="31" t="n"/>
      <c r="L31" s="31" t="n"/>
      <c r="M31" s="31" t="n"/>
      <c r="N31" s="26" t="inlineStr">
        <is>
          <t>As-is model sample (illustrative)</t>
        </is>
      </c>
      <c r="O31" s="12" t="inlineStr">
        <is>
          <t>Finance</t>
        </is>
      </c>
      <c r="P31" s="12" t="inlineStr">
        <is>
          <t>Payroll register</t>
        </is>
      </c>
      <c r="Q31" s="12" t="inlineStr">
        <is>
          <t>Payroll for quota-carrying roles differs</t>
        </is>
      </c>
      <c r="R31" s="32">
        <f>IF(OR(K31="",G31="",F31="Judgment"),"",IFERROR(K31/G31-1,""))</f>
        <v/>
      </c>
      <c r="S31" s="11" t="n">
        <v>12</v>
      </c>
    </row>
    <row r="32" ht="31" customHeight="1">
      <c r="A32" s="11" t="n">
        <v>4</v>
      </c>
      <c r="B32" s="12" t="inlineStr">
        <is>
          <t>load_rate</t>
        </is>
      </c>
      <c r="C32" s="35" t="inlineStr">
        <is>
          <t xml:space="preserve">    Benefits and payroll tax load</t>
        </is>
      </c>
      <c r="D32" s="12" t="inlineStr">
        <is>
          <t>Benefits and payroll taxes ÷ base salary (no overhead allocation)</t>
        </is>
      </c>
      <c r="E32" s="12" t="inlineStr">
        <is>
          <t>ratio</t>
        </is>
      </c>
      <c r="F32" s="26" t="inlineStr">
        <is>
          <t>Reference value</t>
        </is>
      </c>
      <c r="G32" s="36">
        <f>IF(F32="Validated actual",IF(H32="","",H32),IF(F32="Calculated",IF(I32="","",I32),IF(F32="Reference value",IF(J32="","",J32),IF(F32="Judgment",IF(K32="","",K32),""))))</f>
        <v/>
      </c>
      <c r="H32" s="37" t="n"/>
      <c r="I32" s="29" t="n"/>
      <c r="J32" s="37" t="n">
        <v>0.23</v>
      </c>
      <c r="K32" s="37" t="n"/>
      <c r="L32" s="37" t="n"/>
      <c r="M32" s="37" t="n"/>
      <c r="N32" s="26" t="inlineStr">
        <is>
          <t>As-is model sample (illustrative)</t>
        </is>
      </c>
      <c r="O32" s="12" t="inlineStr">
        <is>
          <t>Finance</t>
        </is>
      </c>
      <c r="P32" s="12" t="inlineStr">
        <is>
          <t>Payroll and benefits ledger</t>
        </is>
      </c>
      <c r="Q32" s="12" t="inlineStr">
        <is>
          <t>Benefits ledger ÷ base payroll differs</t>
        </is>
      </c>
      <c r="R32" s="32">
        <f>IF(OR(K32="",G32="",F32="Judgment"),"",IFERROR(K32/G32-1,""))</f>
        <v/>
      </c>
      <c r="S32" s="11" t="n">
        <v>12</v>
      </c>
    </row>
    <row r="33" ht="31" customHeight="1">
      <c r="A33" s="11" t="n">
        <v>4</v>
      </c>
      <c r="B33" s="12" t="inlineStr">
        <is>
          <t>loaded_salary</t>
        </is>
      </c>
      <c r="C33" s="22" t="inlineStr">
        <is>
          <t>Fully loaded salary per salesperson</t>
        </is>
      </c>
      <c r="D33" s="12" t="inlineStr">
        <is>
          <t>Base salary × (1 + load)</t>
        </is>
      </c>
      <c r="E33" s="12" t="inlineStr">
        <is>
          <t>currency</t>
        </is>
      </c>
      <c r="F33" s="26" t="inlineStr">
        <is>
          <t>Calculated</t>
        </is>
      </c>
      <c r="G33" s="30">
        <f>IF(F33="Validated actual",IF(H33="","",H33),IF(F33="Calculated",IF(I33="","",I33),IF(F33="Reference value",IF(J33="","",J33),IF(F33="Judgment",IF(K33="","",K33),""))))</f>
        <v/>
      </c>
      <c r="H33" s="31" t="n"/>
      <c r="I33" s="39">
        <f>IFERROR(v_base_salary*(1+v_load_rate),"")</f>
        <v/>
      </c>
      <c r="J33" s="31" t="n"/>
      <c r="K33" s="31" t="n"/>
      <c r="L33" s="31" t="n"/>
      <c r="M33" s="31" t="n"/>
      <c r="N33" s="26" t="inlineStr"/>
      <c r="O33" s="12" t="inlineStr">
        <is>
          <t>Finance</t>
        </is>
      </c>
      <c r="P33" s="12" t="inlineStr">
        <is>
          <t>Calculated from the two lines above</t>
        </is>
      </c>
      <c r="Q33" s="12" t="inlineStr">
        <is>
          <t>Compensation cross-check against the ledger</t>
        </is>
      </c>
      <c r="R33" s="32">
        <f>IF(OR(K33="",G33="",F33="Judgment"),"",IFERROR(K33/G33-1,""))</f>
        <v/>
      </c>
      <c r="S33" s="11" t="n">
        <v>12</v>
      </c>
    </row>
    <row r="34" ht="31" customHeight="1">
      <c r="A34" s="11" t="n">
        <v>4</v>
      </c>
      <c r="B34" s="12" t="inlineStr">
        <is>
          <t>trip_fare</t>
        </is>
      </c>
      <c r="C34" s="35" t="inlineStr">
        <is>
          <t xml:space="preserve">    Travel per trip: air, train, mileage</t>
        </is>
      </c>
      <c r="D34" s="12" t="inlineStr">
        <is>
          <t>Round trip, one salesperson</t>
        </is>
      </c>
      <c r="E34" s="12" t="inlineStr">
        <is>
          <t>currency</t>
        </is>
      </c>
      <c r="F34" s="26" t="inlineStr">
        <is>
          <t>Reference value</t>
        </is>
      </c>
      <c r="G34" s="30">
        <f>IF(F34="Validated actual",IF(H34="","",H34),IF(F34="Calculated",IF(I34="","",I34),IF(F34="Reference value",IF(J34="","",J34),IF(F34="Judgment",IF(K34="","",K34),""))))</f>
        <v/>
      </c>
      <c r="H34" s="31" t="n"/>
      <c r="I34" s="29" t="n"/>
      <c r="J34" s="31" t="n">
        <v>750</v>
      </c>
      <c r="K34" s="31" t="n"/>
      <c r="L34" s="31" t="n"/>
      <c r="M34" s="31" t="n"/>
      <c r="N34" s="26" t="inlineStr">
        <is>
          <t>As-is model sample (illustrative)</t>
        </is>
      </c>
      <c r="O34" s="12" t="inlineStr">
        <is>
          <t>Finance</t>
        </is>
      </c>
      <c r="P34" s="12" t="inlineStr">
        <is>
          <t>Expense reports</t>
        </is>
      </c>
      <c r="Q34" s="12" t="inlineStr"/>
      <c r="R34" s="32">
        <f>IF(OR(K34="",G34="",F34="Judgment"),"",IFERROR(K34/G34-1,""))</f>
        <v/>
      </c>
      <c r="S34" s="11" t="n"/>
    </row>
    <row r="35" ht="31" customHeight="1">
      <c r="A35" s="11" t="n">
        <v>4</v>
      </c>
      <c r="B35" s="12" t="inlineStr">
        <is>
          <t>trip_ground</t>
        </is>
      </c>
      <c r="C35" s="35" t="inlineStr">
        <is>
          <t xml:space="preserve">    Travel per trip: cabs, tolls, rental</t>
        </is>
      </c>
      <c r="D35" s="12" t="inlineStr">
        <is>
          <t>Per trip</t>
        </is>
      </c>
      <c r="E35" s="12" t="inlineStr">
        <is>
          <t>currency</t>
        </is>
      </c>
      <c r="F35" s="26" t="inlineStr">
        <is>
          <t>Reference value</t>
        </is>
      </c>
      <c r="G35" s="30">
        <f>IF(F35="Validated actual",IF(H35="","",H35),IF(F35="Calculated",IF(I35="","",I35),IF(F35="Reference value",IF(J35="","",J35),IF(F35="Judgment",IF(K35="","",K35),""))))</f>
        <v/>
      </c>
      <c r="H35" s="31" t="n"/>
      <c r="I35" s="29" t="n"/>
      <c r="J35" s="31" t="n">
        <v>200</v>
      </c>
      <c r="K35" s="31" t="n"/>
      <c r="L35" s="31" t="n"/>
      <c r="M35" s="31" t="n"/>
      <c r="N35" s="26" t="inlineStr">
        <is>
          <t>As-is model sample (illustrative)</t>
        </is>
      </c>
      <c r="O35" s="12" t="inlineStr">
        <is>
          <t>Finance</t>
        </is>
      </c>
      <c r="P35" s="12" t="inlineStr">
        <is>
          <t>Expense reports</t>
        </is>
      </c>
      <c r="Q35" s="12" t="inlineStr"/>
      <c r="R35" s="32">
        <f>IF(OR(K35="",G35="",F35="Judgment"),"",IFERROR(K35/G35-1,""))</f>
        <v/>
      </c>
      <c r="S35" s="11" t="n"/>
    </row>
    <row r="36" ht="31" customHeight="1">
      <c r="A36" s="11" t="n">
        <v>4</v>
      </c>
      <c r="B36" s="12" t="inlineStr">
        <is>
          <t>trip_meals</t>
        </is>
      </c>
      <c r="C36" s="35" t="inlineStr">
        <is>
          <t xml:space="preserve">    Meals per day</t>
        </is>
      </c>
      <c r="D36" s="12" t="inlineStr">
        <is>
          <t>Breakfast, lunch, dinner</t>
        </is>
      </c>
      <c r="E36" s="12" t="inlineStr">
        <is>
          <t>currency</t>
        </is>
      </c>
      <c r="F36" s="26" t="inlineStr">
        <is>
          <t>Reference value</t>
        </is>
      </c>
      <c r="G36" s="30">
        <f>IF(F36="Validated actual",IF(H36="","",H36),IF(F36="Calculated",IF(I36="","",I36),IF(F36="Reference value",IF(J36="","",J36),IF(F36="Judgment",IF(K36="","",K36),""))))</f>
        <v/>
      </c>
      <c r="H36" s="31" t="n"/>
      <c r="I36" s="29" t="n"/>
      <c r="J36" s="31" t="n">
        <v>100</v>
      </c>
      <c r="K36" s="31" t="n"/>
      <c r="L36" s="31" t="n"/>
      <c r="M36" s="31" t="n"/>
      <c r="N36" s="26" t="inlineStr">
        <is>
          <t>As-is model sample (illustrative)</t>
        </is>
      </c>
      <c r="O36" s="12" t="inlineStr">
        <is>
          <t>Finance</t>
        </is>
      </c>
      <c r="P36" s="12" t="inlineStr">
        <is>
          <t>Expense reports</t>
        </is>
      </c>
      <c r="Q36" s="12" t="inlineStr"/>
      <c r="R36" s="32">
        <f>IF(OR(K36="",G36="",F36="Judgment"),"",IFERROR(K36/G36-1,""))</f>
        <v/>
      </c>
      <c r="S36" s="11" t="n"/>
    </row>
    <row r="37" ht="31" customHeight="1">
      <c r="A37" s="11" t="n">
        <v>4</v>
      </c>
      <c r="B37" s="12" t="inlineStr">
        <is>
          <t>trip_lodging</t>
        </is>
      </c>
      <c r="C37" s="35" t="inlineStr">
        <is>
          <t xml:space="preserve">    Lodging per night</t>
        </is>
      </c>
      <c r="D37" s="12" t="inlineStr">
        <is>
          <t>Average room cost</t>
        </is>
      </c>
      <c r="E37" s="12" t="inlineStr">
        <is>
          <t>currency</t>
        </is>
      </c>
      <c r="F37" s="26" t="inlineStr">
        <is>
          <t>Reference value</t>
        </is>
      </c>
      <c r="G37" s="30">
        <f>IF(F37="Validated actual",IF(H37="","",H37),IF(F37="Calculated",IF(I37="","",I37),IF(F37="Reference value",IF(J37="","",J37),IF(F37="Judgment",IF(K37="","",K37),""))))</f>
        <v/>
      </c>
      <c r="H37" s="31" t="n"/>
      <c r="I37" s="29" t="n"/>
      <c r="J37" s="31" t="n">
        <v>250</v>
      </c>
      <c r="K37" s="31" t="n"/>
      <c r="L37" s="31" t="n"/>
      <c r="M37" s="31" t="n"/>
      <c r="N37" s="26" t="inlineStr">
        <is>
          <t>As-is model sample (illustrative)</t>
        </is>
      </c>
      <c r="O37" s="12" t="inlineStr">
        <is>
          <t>Finance</t>
        </is>
      </c>
      <c r="P37" s="12" t="inlineStr">
        <is>
          <t>Expense reports</t>
        </is>
      </c>
      <c r="Q37" s="12" t="inlineStr"/>
      <c r="R37" s="32">
        <f>IF(OR(K37="",G37="",F37="Judgment"),"",IFERROR(K37/G37-1,""))</f>
        <v/>
      </c>
      <c r="S37" s="11" t="n"/>
    </row>
    <row r="38" ht="31" customHeight="1">
      <c r="A38" s="11" t="n">
        <v>4</v>
      </c>
      <c r="B38" s="12" t="inlineStr">
        <is>
          <t>trip_days</t>
        </is>
      </c>
      <c r="C38" s="35" t="inlineStr">
        <is>
          <t xml:space="preserve">    Days per trip</t>
        </is>
      </c>
      <c r="D38" s="12" t="inlineStr">
        <is>
          <t>Days away per trip</t>
        </is>
      </c>
      <c r="E38" s="12" t="inlineStr">
        <is>
          <t>count</t>
        </is>
      </c>
      <c r="F38" s="26" t="inlineStr">
        <is>
          <t>Reference value</t>
        </is>
      </c>
      <c r="G38" s="33">
        <f>IF(F38="Validated actual",IF(H38="","",H38),IF(F38="Calculated",IF(I38="","",I38),IF(F38="Reference value",IF(J38="","",J38),IF(F38="Judgment",IF(K38="","",K38),""))))</f>
        <v/>
      </c>
      <c r="H38" s="34" t="n"/>
      <c r="I38" s="29" t="n"/>
      <c r="J38" s="34" t="n">
        <v>2</v>
      </c>
      <c r="K38" s="34" t="n"/>
      <c r="L38" s="34" t="n"/>
      <c r="M38" s="34" t="n"/>
      <c r="N38" s="26" t="inlineStr">
        <is>
          <t>As-is model sample (illustrative)</t>
        </is>
      </c>
      <c r="O38" s="12" t="inlineStr">
        <is>
          <t>Finance</t>
        </is>
      </c>
      <c r="P38" s="12" t="inlineStr">
        <is>
          <t>Expense reports</t>
        </is>
      </c>
      <c r="Q38" s="12" t="inlineStr"/>
      <c r="R38" s="32">
        <f>IF(OR(K38="",G38="",F38="Judgment"),"",IFERROR(K38/G38-1,""))</f>
        <v/>
      </c>
      <c r="S38" s="11" t="n"/>
    </row>
    <row r="39" ht="31" customHeight="1">
      <c r="A39" s="11" t="n">
        <v>4</v>
      </c>
      <c r="B39" s="12" t="inlineStr">
        <is>
          <t>trip_entertainment</t>
        </is>
      </c>
      <c r="C39" s="35" t="inlineStr">
        <is>
          <t xml:space="preserve">    Entertainment per trip</t>
        </is>
      </c>
      <c r="D39" s="12" t="inlineStr">
        <is>
          <t>Client meals and events per trip</t>
        </is>
      </c>
      <c r="E39" s="12" t="inlineStr">
        <is>
          <t>currency</t>
        </is>
      </c>
      <c r="F39" s="26" t="inlineStr">
        <is>
          <t>Reference value</t>
        </is>
      </c>
      <c r="G39" s="30">
        <f>IF(F39="Validated actual",IF(H39="","",H39),IF(F39="Calculated",IF(I39="","",I39),IF(F39="Reference value",IF(J39="","",J39),IF(F39="Judgment",IF(K39="","",K39),""))))</f>
        <v/>
      </c>
      <c r="H39" s="31" t="n"/>
      <c r="I39" s="29" t="n"/>
      <c r="J39" s="31" t="n">
        <v>250</v>
      </c>
      <c r="K39" s="31" t="n"/>
      <c r="L39" s="31" t="n"/>
      <c r="M39" s="31" t="n"/>
      <c r="N39" s="26" t="inlineStr">
        <is>
          <t>As-is model sample (illustrative)</t>
        </is>
      </c>
      <c r="O39" s="12" t="inlineStr">
        <is>
          <t>Finance</t>
        </is>
      </c>
      <c r="P39" s="12" t="inlineStr">
        <is>
          <t>Expense reports</t>
        </is>
      </c>
      <c r="Q39" s="12" t="inlineStr"/>
      <c r="R39" s="32">
        <f>IF(OR(K39="",G39="",F39="Judgment"),"",IFERROR(K39/G39-1,""))</f>
        <v/>
      </c>
      <c r="S39" s="11" t="n"/>
    </row>
    <row r="40" ht="31" customHeight="1">
      <c r="A40" s="11" t="n">
        <v>4</v>
      </c>
      <c r="B40" s="12" t="inlineStr">
        <is>
          <t>trips_per_year</t>
        </is>
      </c>
      <c r="C40" s="35" t="inlineStr">
        <is>
          <t xml:space="preserve">    Trips per year</t>
        </is>
      </c>
      <c r="D40" s="12" t="inlineStr">
        <is>
          <t>Sales trips per salesperson per year</t>
        </is>
      </c>
      <c r="E40" s="12" t="inlineStr">
        <is>
          <t>count</t>
        </is>
      </c>
      <c r="F40" s="26" t="inlineStr">
        <is>
          <t>Reference value</t>
        </is>
      </c>
      <c r="G40" s="33">
        <f>IF(F40="Validated actual",IF(H40="","",H40),IF(F40="Calculated",IF(I40="","",I40),IF(F40="Reference value",IF(J40="","",J40),IF(F40="Judgment",IF(K40="","",K40),""))))</f>
        <v/>
      </c>
      <c r="H40" s="34" t="n"/>
      <c r="I40" s="29" t="n"/>
      <c r="J40" s="34" t="n">
        <v>25</v>
      </c>
      <c r="K40" s="34" t="n"/>
      <c r="L40" s="34" t="n"/>
      <c r="M40" s="34" t="n"/>
      <c r="N40" s="26" t="inlineStr">
        <is>
          <t>As-is model sample (illustrative)</t>
        </is>
      </c>
      <c r="O40" s="12" t="inlineStr">
        <is>
          <t>Finance</t>
        </is>
      </c>
      <c r="P40" s="12" t="inlineStr">
        <is>
          <t>Expense reports or calendars</t>
        </is>
      </c>
      <c r="Q40" s="12" t="inlineStr"/>
      <c r="R40" s="32">
        <f>IF(OR(K40="",G40="",F40="Judgment"),"",IFERROR(K40/G40-1,""))</f>
        <v/>
      </c>
      <c r="S40" s="11" t="n"/>
    </row>
    <row r="41" ht="31" customHeight="1">
      <c r="A41" s="11" t="n">
        <v>4</v>
      </c>
      <c r="B41" s="12" t="inlineStr">
        <is>
          <t>travel_per_salesperson</t>
        </is>
      </c>
      <c r="C41" s="22" t="inlineStr">
        <is>
          <t>Travel cost per salesperson</t>
        </is>
      </c>
      <c r="D41" s="12" t="inlineStr">
        <is>
          <t>Actual: quota salespeople's T&amp;E ÷ salespeople. Calculated: trip build-up</t>
        </is>
      </c>
      <c r="E41" s="12" t="inlineStr">
        <is>
          <t>currency</t>
        </is>
      </c>
      <c r="F41" s="26" t="inlineStr">
        <is>
          <t>Calculated</t>
        </is>
      </c>
      <c r="G41" s="30">
        <f>IF(F41="Validated actual",IF(H41="","",H41),IF(F41="Calculated",IF(I41="","",I41),IF(F41="Reference value",IF(J41="","",J41),IF(F41="Judgment",IF(K41="","",K41),""))))</f>
        <v/>
      </c>
      <c r="H41" s="31" t="n"/>
      <c r="I41" s="39">
        <f>IFERROR(((v_trip_fare+v_trip_ground+v_trip_entertainment)+v_trip_days*(v_trip_meals+v_trip_lodging))*v_trips_per_year,"")</f>
        <v/>
      </c>
      <c r="J41" s="31" t="n"/>
      <c r="K41" s="31" t="n"/>
      <c r="L41" s="31" t="n"/>
      <c r="M41" s="31" t="n"/>
      <c r="N41" s="26" t="inlineStr"/>
      <c r="O41" s="12" t="inlineStr">
        <is>
          <t>Finance</t>
        </is>
      </c>
      <c r="P41" s="12" t="inlineStr">
        <is>
          <t>Expense ledger</t>
        </is>
      </c>
      <c r="Q41" s="12" t="inlineStr">
        <is>
          <t>T&amp;E ledger for quota salespeople differs</t>
        </is>
      </c>
      <c r="R41" s="32">
        <f>IF(OR(K41="",G41="",F41="Judgment"),"",IFERROR(K41/G41-1,""))</f>
        <v/>
      </c>
      <c r="S41" s="11" t="n">
        <v>12</v>
      </c>
    </row>
    <row r="42" ht="31" customHeight="1">
      <c r="A42" s="11" t="n">
        <v>4</v>
      </c>
      <c r="B42" s="12" t="inlineStr">
        <is>
          <t>oh_managers</t>
        </is>
      </c>
      <c r="C42" s="35" t="inlineStr">
        <is>
          <t xml:space="preserve">    Non-quota sales manager salaries</t>
        </is>
      </c>
      <c r="D42" s="12" t="inlineStr">
        <is>
          <t>Managers who carry no quota</t>
        </is>
      </c>
      <c r="E42" s="12" t="inlineStr">
        <is>
          <t>currency</t>
        </is>
      </c>
      <c r="F42" s="26" t="inlineStr">
        <is>
          <t>Reference value</t>
        </is>
      </c>
      <c r="G42" s="30">
        <f>IF(F42="Validated actual",IF(H42="","",H42),IF(F42="Calculated",IF(I42="","",I42),IF(F42="Reference value",IF(J42="","",J42),IF(F42="Judgment",IF(K42="","",K42),""))))</f>
        <v/>
      </c>
      <c r="H42" s="31" t="n"/>
      <c r="I42" s="29" t="n"/>
      <c r="J42" s="31" t="n">
        <v>2750000</v>
      </c>
      <c r="K42" s="31" t="n"/>
      <c r="L42" s="31" t="n"/>
      <c r="M42" s="31" t="n"/>
      <c r="N42" s="26" t="inlineStr">
        <is>
          <t>As-is model sample (illustrative)</t>
        </is>
      </c>
      <c r="O42" s="12" t="inlineStr">
        <is>
          <t>Finance</t>
        </is>
      </c>
      <c r="P42" s="12" t="inlineStr">
        <is>
          <t>General ledger</t>
        </is>
      </c>
      <c r="Q42" s="12" t="inlineStr"/>
      <c r="R42" s="32">
        <f>IF(OR(K42="",G42="",F42="Judgment"),"",IFERROR(K42/G42-1,""))</f>
        <v/>
      </c>
      <c r="S42" s="11" t="n"/>
    </row>
    <row r="43" ht="31" customHeight="1">
      <c r="A43" s="11" t="n">
        <v>4</v>
      </c>
      <c r="B43" s="12" t="inlineStr">
        <is>
          <t>oh_engineers</t>
        </is>
      </c>
      <c r="C43" s="35" t="inlineStr">
        <is>
          <t xml:space="preserve">    Sales engineers and other non-quota support</t>
        </is>
      </c>
      <c r="D43" s="12" t="inlineStr">
        <is>
          <t>Pre-sales and support roles</t>
        </is>
      </c>
      <c r="E43" s="12" t="inlineStr">
        <is>
          <t>currency</t>
        </is>
      </c>
      <c r="F43" s="26" t="inlineStr">
        <is>
          <t>Reference value</t>
        </is>
      </c>
      <c r="G43" s="30">
        <f>IF(F43="Validated actual",IF(H43="","",H43),IF(F43="Calculated",IF(I43="","",I43),IF(F43="Reference value",IF(J43="","",J43),IF(F43="Judgment",IF(K43="","",K43),""))))</f>
        <v/>
      </c>
      <c r="H43" s="31" t="n"/>
      <c r="I43" s="29" t="n"/>
      <c r="J43" s="31" t="n">
        <v>6000000</v>
      </c>
      <c r="K43" s="31" t="n"/>
      <c r="L43" s="31" t="n"/>
      <c r="M43" s="31" t="n"/>
      <c r="N43" s="26" t="inlineStr">
        <is>
          <t>As-is model sample (illustrative)</t>
        </is>
      </c>
      <c r="O43" s="12" t="inlineStr">
        <is>
          <t>Finance</t>
        </is>
      </c>
      <c r="P43" s="12" t="inlineStr">
        <is>
          <t>General ledger</t>
        </is>
      </c>
      <c r="Q43" s="12" t="inlineStr"/>
      <c r="R43" s="32">
        <f>IF(OR(K43="",G43="",F43="Judgment"),"",IFERROR(K43/G43-1,""))</f>
        <v/>
      </c>
      <c r="S43" s="11" t="n"/>
    </row>
    <row r="44" ht="31" customHeight="1">
      <c r="A44" s="11" t="n">
        <v>4</v>
      </c>
      <c r="B44" s="12" t="inlineStr">
        <is>
          <t>oh_admin</t>
        </is>
      </c>
      <c r="C44" s="35" t="inlineStr">
        <is>
          <t xml:space="preserve">    Sales operations and administration</t>
        </is>
      </c>
      <c r="D44" s="12" t="inlineStr">
        <is>
          <t>Sales ops and admin staff</t>
        </is>
      </c>
      <c r="E44" s="12" t="inlineStr">
        <is>
          <t>currency</t>
        </is>
      </c>
      <c r="F44" s="26" t="inlineStr">
        <is>
          <t>Reference value</t>
        </is>
      </c>
      <c r="G44" s="30">
        <f>IF(F44="Validated actual",IF(H44="","",H44),IF(F44="Calculated",IF(I44="","",I44),IF(F44="Reference value",IF(J44="","",J44),IF(F44="Judgment",IF(K44="","",K44),""))))</f>
        <v/>
      </c>
      <c r="H44" s="31" t="n"/>
      <c r="I44" s="29" t="n"/>
      <c r="J44" s="31" t="n">
        <v>800000</v>
      </c>
      <c r="K44" s="31" t="n"/>
      <c r="L44" s="31" t="n"/>
      <c r="M44" s="31" t="n"/>
      <c r="N44" s="26" t="inlineStr">
        <is>
          <t>As-is model sample (illustrative)</t>
        </is>
      </c>
      <c r="O44" s="12" t="inlineStr">
        <is>
          <t>Finance</t>
        </is>
      </c>
      <c r="P44" s="12" t="inlineStr">
        <is>
          <t>General ledger</t>
        </is>
      </c>
      <c r="Q44" s="12" t="inlineStr"/>
      <c r="R44" s="32">
        <f>IF(OR(K44="",G44="",F44="Judgment"),"",IFERROR(K44/G44-1,""))</f>
        <v/>
      </c>
      <c r="S44" s="11" t="n"/>
    </row>
    <row r="45" ht="31" customHeight="1">
      <c r="A45" s="11" t="n">
        <v>4</v>
      </c>
      <c r="B45" s="12" t="inlineStr">
        <is>
          <t>oh_training</t>
        </is>
      </c>
      <c r="C45" s="35" t="inlineStr">
        <is>
          <t xml:space="preserve">    Training</t>
        </is>
      </c>
      <c r="D45" s="12" t="inlineStr">
        <is>
          <t>Training costs, travel for training, related headcount</t>
        </is>
      </c>
      <c r="E45" s="12" t="inlineStr">
        <is>
          <t>currency</t>
        </is>
      </c>
      <c r="F45" s="26" t="inlineStr">
        <is>
          <t>Reference value</t>
        </is>
      </c>
      <c r="G45" s="30">
        <f>IF(F45="Validated actual",IF(H45="","",H45),IF(F45="Calculated",IF(I45="","",I45),IF(F45="Reference value",IF(J45="","",J45),IF(F45="Judgment",IF(K45="","",K45),""))))</f>
        <v/>
      </c>
      <c r="H45" s="31" t="n"/>
      <c r="I45" s="29" t="n"/>
      <c r="J45" s="31" t="n">
        <v>500000</v>
      </c>
      <c r="K45" s="31" t="n"/>
      <c r="L45" s="31" t="n"/>
      <c r="M45" s="31" t="n"/>
      <c r="N45" s="26" t="inlineStr">
        <is>
          <t>As-is model sample (illustrative)</t>
        </is>
      </c>
      <c r="O45" s="12" t="inlineStr">
        <is>
          <t>Finance</t>
        </is>
      </c>
      <c r="P45" s="12" t="inlineStr">
        <is>
          <t>General ledger</t>
        </is>
      </c>
      <c r="Q45" s="12" t="inlineStr"/>
      <c r="R45" s="32">
        <f>IF(OR(K45="",G45="",F45="Judgment"),"",IFERROR(K45/G45-1,""))</f>
        <v/>
      </c>
      <c r="S45" s="11" t="n"/>
    </row>
    <row r="46" ht="31" customHeight="1">
      <c r="A46" s="11" t="n">
        <v>4</v>
      </c>
      <c r="B46" s="12" t="inlineStr">
        <is>
          <t>oh_incentives</t>
        </is>
      </c>
      <c r="C46" s="35" t="inlineStr">
        <is>
          <t xml:space="preserve">    Non-quota incentives</t>
        </is>
      </c>
      <c r="D46" s="12" t="inlineStr">
        <is>
          <t>Contests, recognition trips, non-quota commissions</t>
        </is>
      </c>
      <c r="E46" s="12" t="inlineStr">
        <is>
          <t>currency</t>
        </is>
      </c>
      <c r="F46" s="26" t="inlineStr">
        <is>
          <t>Reference value</t>
        </is>
      </c>
      <c r="G46" s="30">
        <f>IF(F46="Validated actual",IF(H46="","",H46),IF(F46="Calculated",IF(I46="","",I46),IF(F46="Reference value",IF(J46="","",J46),IF(F46="Judgment",IF(K46="","",K46),""))))</f>
        <v/>
      </c>
      <c r="H46" s="31" t="n"/>
      <c r="I46" s="29" t="n"/>
      <c r="J46" s="31" t="n">
        <v>750000</v>
      </c>
      <c r="K46" s="31" t="n"/>
      <c r="L46" s="31" t="n"/>
      <c r="M46" s="31" t="n"/>
      <c r="N46" s="26" t="inlineStr">
        <is>
          <t>As-is model sample (illustrative)</t>
        </is>
      </c>
      <c r="O46" s="12" t="inlineStr">
        <is>
          <t>Finance</t>
        </is>
      </c>
      <c r="P46" s="12" t="inlineStr">
        <is>
          <t>General ledger</t>
        </is>
      </c>
      <c r="Q46" s="12" t="inlineStr"/>
      <c r="R46" s="32">
        <f>IF(OR(K46="",G46="",F46="Judgment"),"",IFERROR(K46/G46-1,""))</f>
        <v/>
      </c>
      <c r="S46" s="11" t="n"/>
    </row>
    <row r="47" ht="31" customHeight="1">
      <c r="A47" s="11" t="n">
        <v>4</v>
      </c>
      <c r="B47" s="12" t="inlineStr">
        <is>
          <t>sales_overhead</t>
        </is>
      </c>
      <c r="C47" s="22" t="inlineStr">
        <is>
          <t>Sales overhead</t>
        </is>
      </c>
      <c r="D47" s="12" t="inlineStr">
        <is>
          <t>Non-variable cost of running the sales organization</t>
        </is>
      </c>
      <c r="E47" s="12" t="inlineStr">
        <is>
          <t>currency</t>
        </is>
      </c>
      <c r="F47" s="26" t="inlineStr">
        <is>
          <t>Calculated</t>
        </is>
      </c>
      <c r="G47" s="30">
        <f>IF(F47="Validated actual",IF(H47="","",H47),IF(F47="Calculated",IF(I47="","",I47),IF(F47="Reference value",IF(J47="","",J47),IF(F47="Judgment",IF(K47="","",K47),""))))</f>
        <v/>
      </c>
      <c r="H47" s="31" t="n"/>
      <c r="I47" s="39">
        <f>IFERROR(v_oh_managers+v_oh_engineers+v_oh_admin+v_oh_training+v_oh_incentives,"")</f>
        <v/>
      </c>
      <c r="J47" s="31" t="n"/>
      <c r="K47" s="31" t="n"/>
      <c r="L47" s="31" t="n"/>
      <c r="M47" s="31" t="n"/>
      <c r="N47" s="26" t="inlineStr"/>
      <c r="O47" s="12" t="inlineStr">
        <is>
          <t>Finance</t>
        </is>
      </c>
      <c r="P47" s="12" t="inlineStr">
        <is>
          <t>Sum of the lines above</t>
        </is>
      </c>
      <c r="Q47" s="12" t="inlineStr">
        <is>
          <t>Ledger total differs</t>
        </is>
      </c>
      <c r="R47" s="32">
        <f>IF(OR(K47="",G47="",F47="Judgment"),"",IFERROR(K47/G47-1,""))</f>
        <v/>
      </c>
      <c r="S47" s="11" t="n">
        <v>12</v>
      </c>
    </row>
    <row r="48" ht="31" customHeight="1">
      <c r="A48" s="11" t="n">
        <v>4</v>
      </c>
      <c r="B48" s="12" t="inlineStr">
        <is>
          <t>mk_people</t>
        </is>
      </c>
      <c r="C48" s="35" t="inlineStr">
        <is>
          <t xml:space="preserve">    Marketing personnel</t>
        </is>
      </c>
      <c r="D48" s="12" t="inlineStr">
        <is>
          <t>All marketing staff</t>
        </is>
      </c>
      <c r="E48" s="12" t="inlineStr">
        <is>
          <t>currency</t>
        </is>
      </c>
      <c r="F48" s="26" t="inlineStr">
        <is>
          <t>Reference value</t>
        </is>
      </c>
      <c r="G48" s="30">
        <f>IF(F48="Validated actual",IF(H48="","",H48),IF(F48="Calculated",IF(I48="","",I48),IF(F48="Reference value",IF(J48="","",J48),IF(F48="Judgment",IF(K48="","",K48),""))))</f>
        <v/>
      </c>
      <c r="H48" s="31" t="n"/>
      <c r="I48" s="29" t="n"/>
      <c r="J48" s="31" t="n">
        <v>1000000</v>
      </c>
      <c r="K48" s="31" t="n"/>
      <c r="L48" s="31" t="n"/>
      <c r="M48" s="31" t="n"/>
      <c r="N48" s="26" t="inlineStr">
        <is>
          <t>As-is model sample (illustrative)</t>
        </is>
      </c>
      <c r="O48" s="12" t="inlineStr">
        <is>
          <t>Finance</t>
        </is>
      </c>
      <c r="P48" s="12" t="inlineStr">
        <is>
          <t>General ledger</t>
        </is>
      </c>
      <c r="Q48" s="12" t="inlineStr"/>
      <c r="R48" s="32">
        <f>IF(OR(K48="",G48="",F48="Judgment"),"",IFERROR(K48/G48-1,""))</f>
        <v/>
      </c>
      <c r="S48" s="11" t="n"/>
    </row>
    <row r="49" ht="31" customHeight="1">
      <c r="A49" s="11" t="n">
        <v>4</v>
      </c>
      <c r="B49" s="12" t="inlineStr">
        <is>
          <t>mk_web</t>
        </is>
      </c>
      <c r="C49" s="35" t="inlineStr">
        <is>
          <t xml:space="preserve">    Website</t>
        </is>
      </c>
      <c r="D49" s="12" t="inlineStr">
        <is>
          <t>Website investment and maintenance</t>
        </is>
      </c>
      <c r="E49" s="12" t="inlineStr">
        <is>
          <t>currency</t>
        </is>
      </c>
      <c r="F49" s="26" t="inlineStr">
        <is>
          <t>Reference value</t>
        </is>
      </c>
      <c r="G49" s="30">
        <f>IF(F49="Validated actual",IF(H49="","",H49),IF(F49="Calculated",IF(I49="","",I49),IF(F49="Reference value",IF(J49="","",J49),IF(F49="Judgment",IF(K49="","",K49),""))))</f>
        <v/>
      </c>
      <c r="H49" s="31" t="n"/>
      <c r="I49" s="29" t="n"/>
      <c r="J49" s="31" t="n">
        <v>250000</v>
      </c>
      <c r="K49" s="31" t="n"/>
      <c r="L49" s="31" t="n"/>
      <c r="M49" s="31" t="n"/>
      <c r="N49" s="26" t="inlineStr">
        <is>
          <t>As-is model sample (illustrative)</t>
        </is>
      </c>
      <c r="O49" s="12" t="inlineStr">
        <is>
          <t>Finance</t>
        </is>
      </c>
      <c r="P49" s="12" t="inlineStr">
        <is>
          <t>General ledger</t>
        </is>
      </c>
      <c r="Q49" s="12" t="inlineStr"/>
      <c r="R49" s="32">
        <f>IF(OR(K49="",G49="",F49="Judgment"),"",IFERROR(K49/G49-1,""))</f>
        <v/>
      </c>
      <c r="S49" s="11" t="n"/>
    </row>
    <row r="50" ht="31" customHeight="1">
      <c r="A50" s="11" t="n">
        <v>4</v>
      </c>
      <c r="B50" s="12" t="inlineStr">
        <is>
          <t>mk_events</t>
        </is>
      </c>
      <c r="C50" s="35" t="inlineStr">
        <is>
          <t xml:space="preserve">    Events</t>
        </is>
      </c>
      <c r="D50" s="12" t="inlineStr">
        <is>
          <t>Online events and roadshows</t>
        </is>
      </c>
      <c r="E50" s="12" t="inlineStr">
        <is>
          <t>currency</t>
        </is>
      </c>
      <c r="F50" s="26" t="inlineStr">
        <is>
          <t>Reference value</t>
        </is>
      </c>
      <c r="G50" s="30">
        <f>IF(F50="Validated actual",IF(H50="","",H50),IF(F50="Calculated",IF(I50="","",I50),IF(F50="Reference value",IF(J50="","",J50),IF(F50="Judgment",IF(K50="","",K50),""))))</f>
        <v/>
      </c>
      <c r="H50" s="31" t="n"/>
      <c r="I50" s="29" t="n"/>
      <c r="J50" s="31" t="n">
        <v>500000</v>
      </c>
      <c r="K50" s="31" t="n"/>
      <c r="L50" s="31" t="n"/>
      <c r="M50" s="31" t="n"/>
      <c r="N50" s="26" t="inlineStr">
        <is>
          <t>As-is model sample (illustrative)</t>
        </is>
      </c>
      <c r="O50" s="12" t="inlineStr">
        <is>
          <t>Finance</t>
        </is>
      </c>
      <c r="P50" s="12" t="inlineStr">
        <is>
          <t>General ledger</t>
        </is>
      </c>
      <c r="Q50" s="12" t="inlineStr"/>
      <c r="R50" s="32">
        <f>IF(OR(K50="",G50="",F50="Judgment"),"",IFERROR(K50/G50-1,""))</f>
        <v/>
      </c>
      <c r="S50" s="11" t="n"/>
    </row>
    <row r="51" ht="31" customHeight="1">
      <c r="A51" s="11" t="n">
        <v>4</v>
      </c>
      <c r="B51" s="12" t="inlineStr">
        <is>
          <t>mk_ads</t>
        </is>
      </c>
      <c r="C51" s="35" t="inlineStr">
        <is>
          <t xml:space="preserve">    Advertising</t>
        </is>
      </c>
      <c r="D51" s="12" t="inlineStr">
        <is>
          <t>Paid media</t>
        </is>
      </c>
      <c r="E51" s="12" t="inlineStr">
        <is>
          <t>currency</t>
        </is>
      </c>
      <c r="F51" s="26" t="inlineStr">
        <is>
          <t>Reference value</t>
        </is>
      </c>
      <c r="G51" s="30">
        <f>IF(F51="Validated actual",IF(H51="","",H51),IF(F51="Calculated",IF(I51="","",I51),IF(F51="Reference value",IF(J51="","",J51),IF(F51="Judgment",IF(K51="","",K51),""))))</f>
        <v/>
      </c>
      <c r="H51" s="31" t="n"/>
      <c r="I51" s="29" t="n"/>
      <c r="J51" s="31" t="n">
        <v>500000</v>
      </c>
      <c r="K51" s="31" t="n"/>
      <c r="L51" s="31" t="n"/>
      <c r="M51" s="31" t="n"/>
      <c r="N51" s="26" t="inlineStr">
        <is>
          <t>As-is model sample (illustrative)</t>
        </is>
      </c>
      <c r="O51" s="12" t="inlineStr">
        <is>
          <t>Finance</t>
        </is>
      </c>
      <c r="P51" s="12" t="inlineStr">
        <is>
          <t>General ledger</t>
        </is>
      </c>
      <c r="Q51" s="12" t="inlineStr"/>
      <c r="R51" s="32">
        <f>IF(OR(K51="",G51="",F51="Judgment"),"",IFERROR(K51/G51-1,""))</f>
        <v/>
      </c>
      <c r="S51" s="11" t="n"/>
    </row>
    <row r="52" ht="31" customHeight="1">
      <c r="A52" s="11" t="n">
        <v>4</v>
      </c>
      <c r="B52" s="12" t="inlineStr">
        <is>
          <t>mk_mail</t>
        </is>
      </c>
      <c r="C52" s="35" t="inlineStr">
        <is>
          <t xml:space="preserve">    Direct mail</t>
        </is>
      </c>
      <c r="D52" s="12" t="inlineStr">
        <is>
          <t>Print and online</t>
        </is>
      </c>
      <c r="E52" s="12" t="inlineStr">
        <is>
          <t>currency</t>
        </is>
      </c>
      <c r="F52" s="26" t="inlineStr">
        <is>
          <t>Reference value</t>
        </is>
      </c>
      <c r="G52" s="30">
        <f>IF(F52="Validated actual",IF(H52="","",H52),IF(F52="Calculated",IF(I52="","",I52),IF(F52="Reference value",IF(J52="","",J52),IF(F52="Judgment",IF(K52="","",K52),""))))</f>
        <v/>
      </c>
      <c r="H52" s="31" t="n"/>
      <c r="I52" s="29" t="n"/>
      <c r="J52" s="31" t="n">
        <v>250000</v>
      </c>
      <c r="K52" s="31" t="n"/>
      <c r="L52" s="31" t="n"/>
      <c r="M52" s="31" t="n"/>
      <c r="N52" s="26" t="inlineStr">
        <is>
          <t>As-is model sample (illustrative)</t>
        </is>
      </c>
      <c r="O52" s="12" t="inlineStr">
        <is>
          <t>Finance</t>
        </is>
      </c>
      <c r="P52" s="12" t="inlineStr">
        <is>
          <t>General ledger</t>
        </is>
      </c>
      <c r="Q52" s="12" t="inlineStr"/>
      <c r="R52" s="32">
        <f>IF(OR(K52="",G52="",F52="Judgment"),"",IFERROR(K52/G52-1,""))</f>
        <v/>
      </c>
      <c r="S52" s="11" t="n"/>
    </row>
    <row r="53" ht="31" customHeight="1">
      <c r="A53" s="11" t="n">
        <v>4</v>
      </c>
      <c r="B53" s="12" t="inlineStr">
        <is>
          <t>mk_leadgen</t>
        </is>
      </c>
      <c r="C53" s="35" t="inlineStr">
        <is>
          <t xml:space="preserve">    Lead generation programs</t>
        </is>
      </c>
      <c r="D53" s="12" t="inlineStr">
        <is>
          <t>Telemarketing, SDR and BDR programs</t>
        </is>
      </c>
      <c r="E53" s="12" t="inlineStr">
        <is>
          <t>currency</t>
        </is>
      </c>
      <c r="F53" s="26" t="inlineStr">
        <is>
          <t>Reference value</t>
        </is>
      </c>
      <c r="G53" s="30">
        <f>IF(F53="Validated actual",IF(H53="","",H53),IF(F53="Calculated",IF(I53="","",I53),IF(F53="Reference value",IF(J53="","",J53),IF(F53="Judgment",IF(K53="","",K53),""))))</f>
        <v/>
      </c>
      <c r="H53" s="31" t="n"/>
      <c r="I53" s="29" t="n"/>
      <c r="J53" s="31" t="n">
        <v>250000</v>
      </c>
      <c r="K53" s="31" t="n"/>
      <c r="L53" s="31" t="n"/>
      <c r="M53" s="31" t="n"/>
      <c r="N53" s="26" t="inlineStr">
        <is>
          <t>As-is model sample (illustrative)</t>
        </is>
      </c>
      <c r="O53" s="12" t="inlineStr">
        <is>
          <t>Finance</t>
        </is>
      </c>
      <c r="P53" s="12" t="inlineStr">
        <is>
          <t>General ledger</t>
        </is>
      </c>
      <c r="Q53" s="12" t="inlineStr"/>
      <c r="R53" s="32">
        <f>IF(OR(K53="",G53="",F53="Judgment"),"",IFERROR(K53/G53-1,""))</f>
        <v/>
      </c>
      <c r="S53" s="11" t="n"/>
    </row>
    <row r="54" ht="31" customHeight="1">
      <c r="A54" s="11" t="n">
        <v>4</v>
      </c>
      <c r="B54" s="12" t="inlineStr">
        <is>
          <t>mk_brand</t>
        </is>
      </c>
      <c r="C54" s="35" t="inlineStr">
        <is>
          <t xml:space="preserve">    Branding and public relations</t>
        </is>
      </c>
      <c r="D54" s="12" t="inlineStr">
        <is>
          <t>Identity, PR, consulting</t>
        </is>
      </c>
      <c r="E54" s="12" t="inlineStr">
        <is>
          <t>currency</t>
        </is>
      </c>
      <c r="F54" s="26" t="inlineStr">
        <is>
          <t>Reference value</t>
        </is>
      </c>
      <c r="G54" s="30">
        <f>IF(F54="Validated actual",IF(H54="","",H54),IF(F54="Calculated",IF(I54="","",I54),IF(F54="Reference value",IF(J54="","",J54),IF(F54="Judgment",IF(K54="","",K54),""))))</f>
        <v/>
      </c>
      <c r="H54" s="31" t="n"/>
      <c r="I54" s="29" t="n"/>
      <c r="J54" s="31" t="n">
        <v>200000</v>
      </c>
      <c r="K54" s="31" t="n"/>
      <c r="L54" s="31" t="n"/>
      <c r="M54" s="31" t="n"/>
      <c r="N54" s="26" t="inlineStr">
        <is>
          <t>As-is model sample (illustrative)</t>
        </is>
      </c>
      <c r="O54" s="12" t="inlineStr">
        <is>
          <t>Finance</t>
        </is>
      </c>
      <c r="P54" s="12" t="inlineStr">
        <is>
          <t>General ledger</t>
        </is>
      </c>
      <c r="Q54" s="12" t="inlineStr"/>
      <c r="R54" s="32">
        <f>IF(OR(K54="",G54="",F54="Judgment"),"",IFERROR(K54/G54-1,""))</f>
        <v/>
      </c>
      <c r="S54" s="11" t="n"/>
    </row>
    <row r="55" ht="31" customHeight="1">
      <c r="A55" s="11" t="n">
        <v>4</v>
      </c>
      <c r="B55" s="12" t="inlineStr">
        <is>
          <t>mk_collateral</t>
        </is>
      </c>
      <c r="C55" s="35" t="inlineStr">
        <is>
          <t xml:space="preserve">    Collateral</t>
        </is>
      </c>
      <c r="D55" s="12" t="inlineStr">
        <is>
          <t>Sales tools, white papers, brochures, printing</t>
        </is>
      </c>
      <c r="E55" s="12" t="inlineStr">
        <is>
          <t>currency</t>
        </is>
      </c>
      <c r="F55" s="26" t="inlineStr">
        <is>
          <t>Reference value</t>
        </is>
      </c>
      <c r="G55" s="30">
        <f>IF(F55="Validated actual",IF(H55="","",H55),IF(F55="Calculated",IF(I55="","",I55),IF(F55="Reference value",IF(J55="","",J55),IF(F55="Judgment",IF(K55="","",K55),""))))</f>
        <v/>
      </c>
      <c r="H55" s="31" t="n"/>
      <c r="I55" s="29" t="n"/>
      <c r="J55" s="31" t="n">
        <v>750000</v>
      </c>
      <c r="K55" s="31" t="n"/>
      <c r="L55" s="31" t="n"/>
      <c r="M55" s="31" t="n"/>
      <c r="N55" s="26" t="inlineStr">
        <is>
          <t>As-is model sample (illustrative)</t>
        </is>
      </c>
      <c r="O55" s="12" t="inlineStr">
        <is>
          <t>Finance</t>
        </is>
      </c>
      <c r="P55" s="12" t="inlineStr">
        <is>
          <t>General ledger</t>
        </is>
      </c>
      <c r="Q55" s="12" t="inlineStr"/>
      <c r="R55" s="32">
        <f>IF(OR(K55="",G55="",F55="Judgment"),"",IFERROR(K55/G55-1,""))</f>
        <v/>
      </c>
      <c r="S55" s="11" t="n"/>
    </row>
    <row r="56" ht="31" customHeight="1">
      <c r="A56" s="11" t="n">
        <v>4</v>
      </c>
      <c r="B56" s="12" t="inlineStr">
        <is>
          <t>marketing</t>
        </is>
      </c>
      <c r="C56" s="22" t="inlineStr">
        <is>
          <t>Marketing</t>
        </is>
      </c>
      <c r="D56" s="12" t="inlineStr">
        <is>
          <t>Investment the company makes to help drive revenue</t>
        </is>
      </c>
      <c r="E56" s="12" t="inlineStr">
        <is>
          <t>currency</t>
        </is>
      </c>
      <c r="F56" s="26" t="inlineStr">
        <is>
          <t>Calculated</t>
        </is>
      </c>
      <c r="G56" s="30">
        <f>IF(F56="Validated actual",IF(H56="","",H56),IF(F56="Calculated",IF(I56="","",I56),IF(F56="Reference value",IF(J56="","",J56),IF(F56="Judgment",IF(K56="","",K56),""))))</f>
        <v/>
      </c>
      <c r="H56" s="31" t="n"/>
      <c r="I56" s="39">
        <f>IFERROR(v_mk_people+v_mk_web+v_mk_events+v_mk_ads+v_mk_mail+v_mk_leadgen+v_mk_brand+v_mk_collateral,"")</f>
        <v/>
      </c>
      <c r="J56" s="31" t="n"/>
      <c r="K56" s="31" t="n"/>
      <c r="L56" s="31" t="n"/>
      <c r="M56" s="31" t="n"/>
      <c r="N56" s="26" t="inlineStr"/>
      <c r="O56" s="12" t="inlineStr">
        <is>
          <t>Finance</t>
        </is>
      </c>
      <c r="P56" s="12" t="inlineStr">
        <is>
          <t>Sum of the lines above</t>
        </is>
      </c>
      <c r="Q56" s="12" t="inlineStr">
        <is>
          <t>Ledger total differs</t>
        </is>
      </c>
      <c r="R56" s="32">
        <f>IF(OR(K56="",G56="",F56="Judgment"),"",IFERROR(K56/G56-1,""))</f>
        <v/>
      </c>
      <c r="S56" s="11" t="n">
        <v>12</v>
      </c>
    </row>
    <row r="57" ht="17.5" customHeight="1">
      <c r="A57" s="11" t="n">
        <v>4</v>
      </c>
      <c r="B57" s="12" t="inlineStr">
        <is>
          <t>commissions_paid</t>
        </is>
      </c>
      <c r="C57" s="35" t="inlineStr">
        <is>
          <t xml:space="preserve">    Commissions paid to quota salespeople</t>
        </is>
      </c>
      <c r="D57" s="12" t="inlineStr">
        <is>
          <t>Commission expense for the period</t>
        </is>
      </c>
      <c r="E57" s="12" t="inlineStr">
        <is>
          <t>currency</t>
        </is>
      </c>
      <c r="F57" s="26" t="inlineStr">
        <is>
          <t>Validated actual</t>
        </is>
      </c>
      <c r="G57" s="30">
        <f>IF(F57="Validated actual",IF(H57="","",H57),IF(F57="Calculated",IF(I57="","",I57),IF(F57="Reference value",IF(J57="","",J57),IF(F57="Judgment",IF(K57="","",K57),""))))</f>
        <v/>
      </c>
      <c r="H57" s="31" t="n"/>
      <c r="I57" s="29" t="n"/>
      <c r="J57" s="31" t="n"/>
      <c r="K57" s="31" t="n"/>
      <c r="L57" s="31" t="n"/>
      <c r="M57" s="31" t="n"/>
      <c r="N57" s="26" t="inlineStr"/>
      <c r="O57" s="12" t="inlineStr">
        <is>
          <t>Finance</t>
        </is>
      </c>
      <c r="P57" s="12" t="inlineStr">
        <is>
          <t>General ledger</t>
        </is>
      </c>
      <c r="Q57" s="12" t="inlineStr"/>
      <c r="R57" s="32">
        <f>IF(OR(K57="",G57="",F57="Judgment"),"",IFERROR(K57/G57-1,""))</f>
        <v/>
      </c>
      <c r="S57" s="11" t="n"/>
    </row>
    <row r="58" ht="31" customHeight="1">
      <c r="A58" s="11" t="n">
        <v>4</v>
      </c>
      <c r="B58" s="12" t="inlineStr">
        <is>
          <t>sales_comp_expense</t>
        </is>
      </c>
      <c r="C58" s="22" t="inlineStr">
        <is>
          <t>Quota salesperson compensation in the ledger</t>
        </is>
      </c>
      <c r="D58" s="12" t="inlineStr">
        <is>
          <t>Salaries, benefits and commissions of quota-carrying salespeople</t>
        </is>
      </c>
      <c r="E58" s="12" t="inlineStr">
        <is>
          <t>currency</t>
        </is>
      </c>
      <c r="F58" s="26" t="inlineStr">
        <is>
          <t>Validated actual</t>
        </is>
      </c>
      <c r="G58" s="30">
        <f>IF(F58="Validated actual",IF(H58="","",H58),IF(F58="Calculated",IF(I58="","",I58),IF(F58="Reference value",IF(J58="","",J58),IF(F58="Judgment",IF(K58="","",K58),""))))</f>
        <v/>
      </c>
      <c r="H58" s="31" t="n"/>
      <c r="I58" s="29" t="n"/>
      <c r="J58" s="31" t="n"/>
      <c r="K58" s="31" t="n"/>
      <c r="L58" s="31" t="n"/>
      <c r="M58" s="31" t="n"/>
      <c r="N58" s="26" t="inlineStr"/>
      <c r="O58" s="12" t="inlineStr">
        <is>
          <t>Finance</t>
        </is>
      </c>
      <c r="P58" s="12" t="inlineStr">
        <is>
          <t>General ledger</t>
        </is>
      </c>
      <c r="Q58" s="12" t="inlineStr">
        <is>
          <t>Used by the compensation cross-check</t>
        </is>
      </c>
      <c r="R58" s="32">
        <f>IF(OR(K58="",G58="",F58="Judgment"),"",IFERROR(K58/G58-1,""))</f>
        <v/>
      </c>
      <c r="S58" s="11" t="n">
        <v>12</v>
      </c>
    </row>
    <row r="59">
      <c r="A59" s="20" t="inlineStr">
        <is>
          <t>Step 5. Salesperson roster  ·  Owner: HR</t>
        </is>
      </c>
      <c r="B59" s="21" t="n"/>
      <c r="C59" s="21" t="n"/>
      <c r="D59" s="21" t="n"/>
      <c r="E59" s="21" t="n"/>
      <c r="F59" s="21" t="n"/>
      <c r="G59" s="21" t="n"/>
      <c r="H59" s="21" t="n"/>
      <c r="I59" s="21" t="n"/>
      <c r="J59" s="21" t="n"/>
      <c r="K59" s="21" t="n"/>
      <c r="L59" s="21" t="n"/>
      <c r="M59" s="21" t="n"/>
      <c r="N59" s="21" t="n"/>
      <c r="O59" s="21" t="n"/>
      <c r="P59" s="21" t="n"/>
      <c r="Q59" s="21" t="n"/>
      <c r="R59" s="21" t="n"/>
      <c r="S59" s="21" t="n"/>
    </row>
    <row r="60" ht="31" customHeight="1">
      <c r="A60" s="11" t="n">
        <v>5</v>
      </c>
      <c r="B60" s="12" t="inlineStr">
        <is>
          <t>filled_seats</t>
        </is>
      </c>
      <c r="C60" s="22" t="inlineStr">
        <is>
          <t>Quota-carrying salespeople at period end</t>
        </is>
      </c>
      <c r="D60" s="12" t="inlineStr">
        <is>
          <t>People employed in quota-carrying roles</t>
        </is>
      </c>
      <c r="E60" s="12" t="inlineStr">
        <is>
          <t>count</t>
        </is>
      </c>
      <c r="F60" s="26" t="inlineStr">
        <is>
          <t>Validated actual</t>
        </is>
      </c>
      <c r="G60" s="33">
        <f>IF(F60="Validated actual",IF(H60="","",H60),IF(F60="Calculated",IF(I60="","",I60),IF(F60="Reference value",IF(J60="","",J60),IF(F60="Judgment",IF(K60="","",K60),""))))</f>
        <v/>
      </c>
      <c r="H60" s="34" t="n"/>
      <c r="I60" s="29" t="n"/>
      <c r="J60" s="34" t="n"/>
      <c r="K60" s="34" t="n"/>
      <c r="L60" s="34" t="n"/>
      <c r="M60" s="34" t="n"/>
      <c r="N60" s="26" t="inlineStr"/>
      <c r="O60" s="12" t="inlineStr">
        <is>
          <t>HR</t>
        </is>
      </c>
      <c r="P60" s="12" t="inlineStr">
        <is>
          <t>HR roster export</t>
        </is>
      </c>
      <c r="Q60" s="12" t="inlineStr">
        <is>
          <t>Territory plan shows a different number of filled territories</t>
        </is>
      </c>
      <c r="R60" s="32">
        <f>IF(OR(K60="",G60="",F60="Judgment"),"",IFERROR(K60/G60-1,""))</f>
        <v/>
      </c>
      <c r="S60" s="11" t="n">
        <v>10</v>
      </c>
    </row>
    <row r="61" ht="17.5" customHeight="1">
      <c r="A61" s="11" t="n">
        <v>5</v>
      </c>
      <c r="B61" s="12" t="inlineStr">
        <is>
          <t>hires</t>
        </is>
      </c>
      <c r="C61" s="35" t="inlineStr">
        <is>
          <t xml:space="preserve">    Salespeople hired in the period</t>
        </is>
      </c>
      <c r="D61" s="12" t="inlineStr">
        <is>
          <t>Quota-carrying hires</t>
        </is>
      </c>
      <c r="E61" s="12" t="inlineStr">
        <is>
          <t>count</t>
        </is>
      </c>
      <c r="F61" s="26" t="inlineStr">
        <is>
          <t>Validated actual</t>
        </is>
      </c>
      <c r="G61" s="33">
        <f>IF(F61="Validated actual",IF(H61="","",H61),IF(F61="Calculated",IF(I61="","",I61),IF(F61="Reference value",IF(J61="","",J61),IF(F61="Judgment",IF(K61="","",K61),""))))</f>
        <v/>
      </c>
      <c r="H61" s="34" t="n"/>
      <c r="I61" s="29" t="n"/>
      <c r="J61" s="34" t="n"/>
      <c r="K61" s="34" t="n"/>
      <c r="L61" s="34" t="n"/>
      <c r="M61" s="34" t="n"/>
      <c r="N61" s="26" t="inlineStr"/>
      <c r="O61" s="12" t="inlineStr">
        <is>
          <t>HR</t>
        </is>
      </c>
      <c r="P61" s="12" t="inlineStr">
        <is>
          <t>HR roster export</t>
        </is>
      </c>
      <c r="Q61" s="12" t="inlineStr"/>
      <c r="R61" s="32">
        <f>IF(OR(K61="",G61="",F61="Judgment"),"",IFERROR(K61/G61-1,""))</f>
        <v/>
      </c>
      <c r="S61" s="11" t="n">
        <v>10</v>
      </c>
    </row>
    <row r="62" ht="17.5" customHeight="1">
      <c r="A62" s="11" t="n">
        <v>5</v>
      </c>
      <c r="B62" s="12" t="inlineStr">
        <is>
          <t>departures</t>
        </is>
      </c>
      <c r="C62" s="35" t="inlineStr">
        <is>
          <t xml:space="preserve">    Salespeople who left in the period</t>
        </is>
      </c>
      <c r="D62" s="12" t="inlineStr">
        <is>
          <t>Quota-carrying departures</t>
        </is>
      </c>
      <c r="E62" s="12" t="inlineStr">
        <is>
          <t>count</t>
        </is>
      </c>
      <c r="F62" s="26" t="inlineStr">
        <is>
          <t>Validated actual</t>
        </is>
      </c>
      <c r="G62" s="33">
        <f>IF(F62="Validated actual",IF(H62="","",H62),IF(F62="Calculated",IF(I62="","",I62),IF(F62="Reference value",IF(J62="","",J62),IF(F62="Judgment",IF(K62="","",K62),""))))</f>
        <v/>
      </c>
      <c r="H62" s="34" t="n"/>
      <c r="I62" s="29" t="n"/>
      <c r="J62" s="34" t="n"/>
      <c r="K62" s="34" t="n"/>
      <c r="L62" s="34" t="n"/>
      <c r="M62" s="34" t="n"/>
      <c r="N62" s="26" t="inlineStr"/>
      <c r="O62" s="12" t="inlineStr">
        <is>
          <t>HR</t>
        </is>
      </c>
      <c r="P62" s="12" t="inlineStr">
        <is>
          <t>HR roster export</t>
        </is>
      </c>
      <c r="Q62" s="12" t="inlineStr"/>
      <c r="R62" s="32">
        <f>IF(OR(K62="",G62="",F62="Judgment"),"",IFERROR(K62/G62-1,""))</f>
        <v/>
      </c>
      <c r="S62" s="11" t="n">
        <v>10</v>
      </c>
    </row>
    <row r="63" ht="44.5" customHeight="1">
      <c r="A63" s="11" t="n">
        <v>5</v>
      </c>
      <c r="B63" s="12" t="inlineStr">
        <is>
          <t>productive_salespeople</t>
        </is>
      </c>
      <c r="C63" s="22" t="inlineStr">
        <is>
          <t>Productive (ramped) salespeople</t>
        </is>
      </c>
      <c r="D63" s="12" t="inlineStr">
        <is>
          <t>Salespeople working at full productivity on average. Calculated: filled seats − hires × share of year spent ramping</t>
        </is>
      </c>
      <c r="E63" s="12" t="inlineStr">
        <is>
          <t>count1</t>
        </is>
      </c>
      <c r="F63" s="26" t="inlineStr">
        <is>
          <t>Calculated</t>
        </is>
      </c>
      <c r="G63" s="40">
        <f>IF(F63="Validated actual",IF(H63="","",H63),IF(F63="Calculated",IF(I63="","",I63),IF(F63="Reference value",IF(J63="","",J63),IF(F63="Judgment",IF(K63="","",K63),""))))</f>
        <v/>
      </c>
      <c r="H63" s="41" t="n"/>
      <c r="I63" s="42">
        <f>IFERROR(MAX(0,v_filled_seats-v_hires*MIN(1,v_ramp_months/12)),"")</f>
        <v/>
      </c>
      <c r="J63" s="41" t="n"/>
      <c r="K63" s="41" t="n"/>
      <c r="L63" s="41" t="n"/>
      <c r="M63" s="41" t="n"/>
      <c r="N63" s="26" t="inlineStr"/>
      <c r="O63" s="12" t="inlineStr">
        <is>
          <t>HR</t>
        </is>
      </c>
      <c r="P63" s="12" t="inlineStr">
        <is>
          <t>Roster with start dates</t>
        </is>
      </c>
      <c r="Q63" s="12" t="inlineStr">
        <is>
          <t>Productivity by tenure shows a different ramp</t>
        </is>
      </c>
      <c r="R63" s="32">
        <f>IF(OR(K63="",G63="",F63="Judgment"),"",IFERROR(K63/G63-1,""))</f>
        <v/>
      </c>
      <c r="S63" s="11" t="n">
        <v>10</v>
      </c>
    </row>
    <row r="64">
      <c r="A64" s="20" t="inlineStr">
        <is>
          <t>Step 6. Territory plan  ·  Owner: Sales Operations</t>
        </is>
      </c>
      <c r="B64" s="21" t="n"/>
      <c r="C64" s="21" t="n"/>
      <c r="D64" s="21" t="n"/>
      <c r="E64" s="21" t="n"/>
      <c r="F64" s="21" t="n"/>
      <c r="G64" s="21" t="n"/>
      <c r="H64" s="21" t="n"/>
      <c r="I64" s="21" t="n"/>
      <c r="J64" s="21" t="n"/>
      <c r="K64" s="21" t="n"/>
      <c r="L64" s="21" t="n"/>
      <c r="M64" s="21" t="n"/>
      <c r="N64" s="21" t="n"/>
      <c r="O64" s="21" t="n"/>
      <c r="P64" s="21" t="n"/>
      <c r="Q64" s="21" t="n"/>
      <c r="R64" s="21" t="n"/>
      <c r="S64" s="21" t="n"/>
    </row>
    <row r="65" ht="44.5" customHeight="1">
      <c r="A65" s="11" t="n">
        <v>6</v>
      </c>
      <c r="B65" s="12" t="inlineStr">
        <is>
          <t>territory_count</t>
        </is>
      </c>
      <c r="C65" s="22" t="inlineStr">
        <is>
          <t>Funded territories</t>
        </is>
      </c>
      <c r="D65" s="12" t="inlineStr">
        <is>
          <t>Territories the company has decided to fund, filled or open. A territory is a design choice, not a person</t>
        </is>
      </c>
      <c r="E65" s="12" t="inlineStr">
        <is>
          <t>count</t>
        </is>
      </c>
      <c r="F65" s="26" t="inlineStr">
        <is>
          <t>Reference value</t>
        </is>
      </c>
      <c r="G65" s="33">
        <f>IF(F65="Validated actual",IF(H65="","",H65),IF(F65="Calculated",IF(I65="","",I65),IF(F65="Reference value",IF(J65="","",J65),IF(F65="Judgment",IF(K65="","",K65),""))))</f>
        <v/>
      </c>
      <c r="H65" s="34" t="n"/>
      <c r="I65" s="29" t="n"/>
      <c r="J65" s="34" t="n">
        <v>100</v>
      </c>
      <c r="K65" s="34" t="n"/>
      <c r="L65" s="34" t="n"/>
      <c r="M65" s="34" t="n"/>
      <c r="N65" s="26" t="inlineStr">
        <is>
          <t>As-is model sample (illustrative)</t>
        </is>
      </c>
      <c r="O65" s="12" t="inlineStr">
        <is>
          <t>Sales Operations</t>
        </is>
      </c>
      <c r="P65" s="12" t="inlineStr">
        <is>
          <t>Territory plan</t>
        </is>
      </c>
      <c r="Q65" s="12" t="inlineStr">
        <is>
          <t>Filled + open territories differ from this count</t>
        </is>
      </c>
      <c r="R65" s="32">
        <f>IF(OR(K65="",G65="",F65="Judgment"),"",IFERROR(K65/G65-1,""))</f>
        <v/>
      </c>
      <c r="S65" s="11" t="n">
        <v>10</v>
      </c>
    </row>
    <row r="66" ht="31" customHeight="1">
      <c r="A66" s="11" t="n">
        <v>6</v>
      </c>
      <c r="B66" s="12" t="inlineStr">
        <is>
          <t>open_territories</t>
        </is>
      </c>
      <c r="C66" s="22" t="inlineStr">
        <is>
          <t>Open territories at period end</t>
        </is>
      </c>
      <c r="D66" s="12" t="inlineStr">
        <is>
          <t>Funded territories with no salesperson assigned</t>
        </is>
      </c>
      <c r="E66" s="12" t="inlineStr">
        <is>
          <t>count</t>
        </is>
      </c>
      <c r="F66" s="26" t="inlineStr">
        <is>
          <t>Validated actual</t>
        </is>
      </c>
      <c r="G66" s="33">
        <f>IF(F66="Validated actual",IF(H66="","",H66),IF(F66="Calculated",IF(I66="","",I66),IF(F66="Reference value",IF(J66="","",J66),IF(F66="Judgment",IF(K66="","",K66),""))))</f>
        <v/>
      </c>
      <c r="H66" s="34" t="n"/>
      <c r="I66" s="29" t="n"/>
      <c r="J66" s="34" t="n"/>
      <c r="K66" s="34" t="n"/>
      <c r="L66" s="34" t="n"/>
      <c r="M66" s="34" t="n"/>
      <c r="N66" s="26" t="inlineStr"/>
      <c r="O66" s="12" t="inlineStr">
        <is>
          <t>Sales Operations</t>
        </is>
      </c>
      <c r="P66" s="12" t="inlineStr">
        <is>
          <t>Territory plan</t>
        </is>
      </c>
      <c r="Q66" s="12" t="inlineStr">
        <is>
          <t>Roster and plan disagree</t>
        </is>
      </c>
      <c r="R66" s="32">
        <f>IF(OR(K66="",G66="",F66="Judgment"),"",IFERROR(K66/G66-1,""))</f>
        <v/>
      </c>
      <c r="S66" s="11" t="n">
        <v>10</v>
      </c>
    </row>
    <row r="67" ht="31" customHeight="1">
      <c r="A67" s="11" t="n">
        <v>6</v>
      </c>
      <c r="B67" s="12" t="inlineStr">
        <is>
          <t>expected_yield</t>
        </is>
      </c>
      <c r="C67" s="22" t="inlineStr">
        <is>
          <t>Expected yield per territory (average)</t>
        </is>
      </c>
      <c r="D67" s="12" t="inlineStr">
        <is>
          <t>Revenue a filled, ramped territory is expected to produce in a year</t>
        </is>
      </c>
      <c r="E67" s="12" t="inlineStr">
        <is>
          <t>currency</t>
        </is>
      </c>
      <c r="F67" s="26" t="inlineStr">
        <is>
          <t>Validated actual</t>
        </is>
      </c>
      <c r="G67" s="30">
        <f>IF(F67="Validated actual",IF(H67="","",H67),IF(F67="Calculated",IF(I67="","",I67),IF(F67="Reference value",IF(J67="","",J67),IF(F67="Judgment",IF(K67="","",K67),""))))</f>
        <v/>
      </c>
      <c r="H67" s="31" t="n"/>
      <c r="I67" s="39">
        <f>IFERROR(v_plan_target/v_territory_count,"")</f>
        <v/>
      </c>
      <c r="J67" s="31" t="n"/>
      <c r="K67" s="31" t="n"/>
      <c r="L67" s="31" t="n"/>
      <c r="M67" s="31" t="n"/>
      <c r="N67" s="26" t="inlineStr"/>
      <c r="O67" s="12" t="inlineStr">
        <is>
          <t>Sales Operations</t>
        </is>
      </c>
      <c r="P67" s="12" t="inlineStr">
        <is>
          <t>Territory plan or quota letters</t>
        </is>
      </c>
      <c r="Q67" s="12" t="inlineStr">
        <is>
          <t>Territories × expected yield differs from the plan</t>
        </is>
      </c>
      <c r="R67" s="32">
        <f>IF(OR(K67="",G67="",F67="Judgment"),"",IFERROR(K67/G67-1,""))</f>
        <v/>
      </c>
      <c r="S67" s="11" t="n">
        <v>3</v>
      </c>
    </row>
    <row r="68">
      <c r="A68" s="20" t="inlineStr">
        <is>
          <t>Step 7. CRM exports  ·  Owner: Sales Operations</t>
        </is>
      </c>
      <c r="B68" s="21" t="n"/>
      <c r="C68" s="21" t="n"/>
      <c r="D68" s="21" t="n"/>
      <c r="E68" s="21" t="n"/>
      <c r="F68" s="21" t="n"/>
      <c r="G68" s="21" t="n"/>
      <c r="H68" s="21" t="n"/>
      <c r="I68" s="21" t="n"/>
      <c r="J68" s="21" t="n"/>
      <c r="K68" s="21" t="n"/>
      <c r="L68" s="21" t="n"/>
      <c r="M68" s="21" t="n"/>
      <c r="N68" s="21" t="n"/>
      <c r="O68" s="21" t="n"/>
      <c r="P68" s="21" t="n"/>
      <c r="Q68" s="21" t="n"/>
      <c r="R68" s="21" t="n"/>
      <c r="S68" s="21" t="n"/>
    </row>
    <row r="69" ht="17.5" customHeight="1">
      <c r="A69" s="11" t="n">
        <v>7</v>
      </c>
      <c r="B69" s="12" t="inlineStr">
        <is>
          <t>opps_won</t>
        </is>
      </c>
      <c r="C69" s="35" t="inlineStr">
        <is>
          <t xml:space="preserve">    Qualified opportunities won</t>
        </is>
      </c>
      <c r="D69" s="12" t="inlineStr">
        <is>
          <t>Closed as won in the period</t>
        </is>
      </c>
      <c r="E69" s="12" t="inlineStr">
        <is>
          <t>count</t>
        </is>
      </c>
      <c r="F69" s="26" t="inlineStr">
        <is>
          <t>Validated actual</t>
        </is>
      </c>
      <c r="G69" s="33">
        <f>IF(F69="Validated actual",IF(H69="","",H69),IF(F69="Calculated",IF(I69="","",I69),IF(F69="Reference value",IF(J69="","",J69),IF(F69="Judgment",IF(K69="","",K69),""))))</f>
        <v/>
      </c>
      <c r="H69" s="34" t="n"/>
      <c r="I69" s="29" t="n"/>
      <c r="J69" s="34" t="n"/>
      <c r="K69" s="34" t="n"/>
      <c r="L69" s="34" t="n"/>
      <c r="M69" s="34" t="n"/>
      <c r="N69" s="26" t="inlineStr"/>
      <c r="O69" s="12" t="inlineStr">
        <is>
          <t>Sales Operations</t>
        </is>
      </c>
      <c r="P69" s="12" t="inlineStr">
        <is>
          <t>CRM closed-opportunity report</t>
        </is>
      </c>
      <c r="Q69" s="12" t="inlineStr"/>
      <c r="R69" s="32">
        <f>IF(OR(K69="",G69="",F69="Judgment"),"",IFERROR(K69/G69-1,""))</f>
        <v/>
      </c>
      <c r="S69" s="11" t="n"/>
    </row>
    <row r="70" ht="17.5" customHeight="1">
      <c r="A70" s="11" t="n">
        <v>7</v>
      </c>
      <c r="B70" s="12" t="inlineStr">
        <is>
          <t>opps_lost</t>
        </is>
      </c>
      <c r="C70" s="35" t="inlineStr">
        <is>
          <t xml:space="preserve">    Qualified opportunities lost</t>
        </is>
      </c>
      <c r="D70" s="12" t="inlineStr">
        <is>
          <t>Closed as lost in the period</t>
        </is>
      </c>
      <c r="E70" s="12" t="inlineStr">
        <is>
          <t>count</t>
        </is>
      </c>
      <c r="F70" s="26" t="inlineStr">
        <is>
          <t>Validated actual</t>
        </is>
      </c>
      <c r="G70" s="33">
        <f>IF(F70="Validated actual",IF(H70="","",H70),IF(F70="Calculated",IF(I70="","",I70),IF(F70="Reference value",IF(J70="","",J70),IF(F70="Judgment",IF(K70="","",K70),""))))</f>
        <v/>
      </c>
      <c r="H70" s="34" t="n"/>
      <c r="I70" s="29" t="n"/>
      <c r="J70" s="34" t="n"/>
      <c r="K70" s="34" t="n"/>
      <c r="L70" s="34" t="n"/>
      <c r="M70" s="34" t="n"/>
      <c r="N70" s="26" t="inlineStr"/>
      <c r="O70" s="12" t="inlineStr">
        <is>
          <t>Sales Operations</t>
        </is>
      </c>
      <c r="P70" s="12" t="inlineStr">
        <is>
          <t>CRM closed-opportunity report</t>
        </is>
      </c>
      <c r="Q70" s="12" t="inlineStr"/>
      <c r="R70" s="32">
        <f>IF(OR(K70="",G70="",F70="Judgment"),"",IFERROR(K70/G70-1,""))</f>
        <v/>
      </c>
      <c r="S70" s="11" t="n"/>
    </row>
    <row r="71" ht="31" customHeight="1">
      <c r="A71" s="11" t="n">
        <v>7</v>
      </c>
      <c r="B71" s="12" t="inlineStr">
        <is>
          <t>win_rate</t>
        </is>
      </c>
      <c r="C71" s="22" t="inlineStr">
        <is>
          <t>Close rate</t>
        </is>
      </c>
      <c r="D71" s="12" t="inlineStr">
        <is>
          <t>Won ÷ (won + lost) qualified opportunities, by count</t>
        </is>
      </c>
      <c r="E71" s="12" t="inlineStr">
        <is>
          <t>ratio</t>
        </is>
      </c>
      <c r="F71" s="26" t="inlineStr">
        <is>
          <t>Reference value</t>
        </is>
      </c>
      <c r="G71" s="36">
        <f>IF(F71="Validated actual",IF(H71="","",H71),IF(F71="Calculated",IF(I71="","",I71),IF(F71="Reference value",IF(J71="","",J71),IF(F71="Judgment",IF(K71="","",K71),""))))</f>
        <v/>
      </c>
      <c r="H71" s="37" t="n"/>
      <c r="I71" s="38">
        <f>IFERROR(v_opps_won/(v_opps_won+v_opps_lost),"")</f>
        <v/>
      </c>
      <c r="J71" s="37" t="n">
        <v>0.25</v>
      </c>
      <c r="K71" s="37" t="n"/>
      <c r="L71" s="37" t="n"/>
      <c r="M71" s="37" t="n"/>
      <c r="N71" s="26" t="inlineStr">
        <is>
          <t>As-is model sample (illustrative)</t>
        </is>
      </c>
      <c r="O71" s="12" t="inlineStr">
        <is>
          <t>Sales Operations</t>
        </is>
      </c>
      <c r="P71" s="12" t="inlineStr">
        <is>
          <t>CRM closed-opportunity report</t>
        </is>
      </c>
      <c r="Q71" s="12" t="inlineStr">
        <is>
          <t>CRM won ÷ (won + lost) differs</t>
        </is>
      </c>
      <c r="R71" s="32">
        <f>IF(OR(K71="",G71="",F71="Judgment"),"",IFERROR(K71/G71-1,""))</f>
        <v/>
      </c>
      <c r="S71" s="11" t="n">
        <v>12</v>
      </c>
    </row>
    <row r="72" ht="31" customHeight="1">
      <c r="A72" s="11" t="n">
        <v>7</v>
      </c>
      <c r="B72" s="12" t="inlineStr">
        <is>
          <t>cycle_months</t>
        </is>
      </c>
      <c r="C72" s="22" t="inlineStr">
        <is>
          <t>Sales cycle (months)</t>
        </is>
      </c>
      <c r="D72" s="12" t="inlineStr">
        <is>
          <t>Median time from qualified opportunity to signature for won deals</t>
        </is>
      </c>
      <c r="E72" s="12" t="inlineStr">
        <is>
          <t>months</t>
        </is>
      </c>
      <c r="F72" s="26" t="inlineStr">
        <is>
          <t>Reference value</t>
        </is>
      </c>
      <c r="G72" s="43">
        <f>IF(F72="Validated actual",IF(H72="","",H72),IF(F72="Calculated",IF(I72="","",I72),IF(F72="Reference value",IF(J72="","",J72),IF(F72="Judgment",IF(K72="","",K72),""))))</f>
        <v/>
      </c>
      <c r="H72" s="44" t="n"/>
      <c r="I72" s="29" t="n"/>
      <c r="J72" s="44" t="n">
        <v>6</v>
      </c>
      <c r="K72" s="44" t="n"/>
      <c r="L72" s="44" t="n"/>
      <c r="M72" s="44" t="n"/>
      <c r="N72" s="26" t="inlineStr">
        <is>
          <t>As-is model sample (illustrative)</t>
        </is>
      </c>
      <c r="O72" s="12" t="inlineStr">
        <is>
          <t>Sales Operations</t>
        </is>
      </c>
      <c r="P72" s="12" t="inlineStr">
        <is>
          <t>CRM closed-opportunity report</t>
        </is>
      </c>
      <c r="Q72" s="12" t="inlineStr">
        <is>
          <t>CRM median cycle differs; Little's Law check fails</t>
        </is>
      </c>
      <c r="R72" s="32">
        <f>IF(OR(K72="",G72="",F72="Judgment"),"",IFERROR(K72/G72-1,""))</f>
        <v/>
      </c>
      <c r="S72" s="11" t="n">
        <v>9</v>
      </c>
    </row>
    <row r="73" ht="58" customHeight="1">
      <c r="A73" s="11" t="n">
        <v>7</v>
      </c>
      <c r="B73" s="12" t="inlineStr">
        <is>
          <t>deal_size</t>
        </is>
      </c>
      <c r="C73" s="22" t="inlineStr">
        <is>
          <t>Average revenue per contract</t>
        </is>
      </c>
      <c r="D73" s="12" t="inlineStr">
        <is>
          <t>Revenue ÷ contracts</t>
        </is>
      </c>
      <c r="E73" s="12" t="inlineStr">
        <is>
          <t>currency</t>
        </is>
      </c>
      <c r="F73" s="26" t="inlineStr">
        <is>
          <t>Reference value</t>
        </is>
      </c>
      <c r="G73" s="30">
        <f>IF(F73="Validated actual",IF(H73="","",H73),IF(F73="Calculated",IF(I73="","",I73),IF(F73="Reference value",IF(J73="","",J73),IF(F73="Judgment",IF(K73="","",K73),""))))</f>
        <v/>
      </c>
      <c r="H73" s="31" t="n"/>
      <c r="I73" s="39">
        <f>IFERROR(v_revenue/v_contracts,"")</f>
        <v/>
      </c>
      <c r="J73" s="31" t="n">
        <v>75000</v>
      </c>
      <c r="K73" s="31" t="n"/>
      <c r="L73" s="31" t="n"/>
      <c r="M73" s="31" t="n"/>
      <c r="N73" s="26" t="inlineStr">
        <is>
          <t>Reference value from another client, chosen so the model fits companies of any size (as-is model)</t>
        </is>
      </c>
      <c r="O73" s="12" t="inlineStr">
        <is>
          <t>Sales Operations</t>
        </is>
      </c>
      <c r="P73" s="12" t="inlineStr">
        <is>
          <t>Calculated from step 3</t>
        </is>
      </c>
      <c r="Q73" s="12" t="inlineStr">
        <is>
          <t>Revenue ÷ contracts differs (deal size cross-check)</t>
        </is>
      </c>
      <c r="R73" s="32">
        <f>IF(OR(K73="",G73="",F73="Judgment"),"",IFERROR(K73/G73-1,""))</f>
        <v/>
      </c>
      <c r="S73" s="11" t="n">
        <v>12</v>
      </c>
    </row>
    <row r="74" ht="31" customHeight="1">
      <c r="A74" s="11" t="n">
        <v>7</v>
      </c>
      <c r="B74" s="12" t="inlineStr">
        <is>
          <t>open_opps_total</t>
        </is>
      </c>
      <c r="C74" s="35" t="inlineStr">
        <is>
          <t xml:space="preserve">    Open qualified opportunities</t>
        </is>
      </c>
      <c r="D74" s="12" t="inlineStr">
        <is>
          <t>Average of month-end open qualified opportunities</t>
        </is>
      </c>
      <c r="E74" s="12" t="inlineStr">
        <is>
          <t>count</t>
        </is>
      </c>
      <c r="F74" s="26" t="inlineStr">
        <is>
          <t>Validated actual</t>
        </is>
      </c>
      <c r="G74" s="33">
        <f>IF(F74="Validated actual",IF(H74="","",H74),IF(F74="Calculated",IF(I74="","",I74),IF(F74="Reference value",IF(J74="","",J74),IF(F74="Judgment",IF(K74="","",K74),""))))</f>
        <v/>
      </c>
      <c r="H74" s="34" t="n"/>
      <c r="I74" s="29" t="n"/>
      <c r="J74" s="34" t="n"/>
      <c r="K74" s="34" t="n"/>
      <c r="L74" s="34" t="n"/>
      <c r="M74" s="34" t="n"/>
      <c r="N74" s="26" t="inlineStr"/>
      <c r="O74" s="12" t="inlineStr">
        <is>
          <t>Sales Operations</t>
        </is>
      </c>
      <c r="P74" s="12" t="inlineStr">
        <is>
          <t>CRM month-end snapshots</t>
        </is>
      </c>
      <c r="Q74" s="12" t="inlineStr"/>
      <c r="R74" s="32">
        <f>IF(OR(K74="",G74="",F74="Judgment"),"",IFERROR(K74/G74-1,""))</f>
        <v/>
      </c>
      <c r="S74" s="11" t="n"/>
    </row>
    <row r="75" ht="17.5" customHeight="1">
      <c r="A75" s="11" t="n">
        <v>7</v>
      </c>
      <c r="B75" s="12" t="inlineStr">
        <is>
          <t>opportunities_load</t>
        </is>
      </c>
      <c r="C75" s="22" t="inlineStr">
        <is>
          <t>Opportunities each salesperson holds</t>
        </is>
      </c>
      <c r="D75" s="12" t="inlineStr">
        <is>
          <t>Open qualified opportunities ÷ salespeople</t>
        </is>
      </c>
      <c r="E75" s="12" t="inlineStr">
        <is>
          <t>count1</t>
        </is>
      </c>
      <c r="F75" s="26" t="inlineStr">
        <is>
          <t>Calculated</t>
        </is>
      </c>
      <c r="G75" s="40">
        <f>IF(F75="Validated actual",IF(H75="","",H75),IF(F75="Calculated",IF(I75="","",I75),IF(F75="Reference value",IF(J75="","",J75),IF(F75="Judgment",IF(K75="","",K75),""))))</f>
        <v/>
      </c>
      <c r="H75" s="41" t="n"/>
      <c r="I75" s="42">
        <f>IFERROR(v_open_opps_total/v_filled_seats,"")</f>
        <v/>
      </c>
      <c r="J75" s="41" t="n"/>
      <c r="K75" s="41" t="n"/>
      <c r="L75" s="41" t="n"/>
      <c r="M75" s="41" t="n"/>
      <c r="N75" s="26" t="inlineStr"/>
      <c r="O75" s="12" t="inlineStr">
        <is>
          <t>Sales Operations</t>
        </is>
      </c>
      <c r="P75" s="12" t="inlineStr">
        <is>
          <t>Calculated from CRM snapshots and roster</t>
        </is>
      </c>
      <c r="Q75" s="12" t="inlineStr">
        <is>
          <t>Little's Law check fails</t>
        </is>
      </c>
      <c r="R75" s="32">
        <f>IF(OR(K75="",G75="",F75="Judgment"),"",IFERROR(K75/G75-1,""))</f>
        <v/>
      </c>
      <c r="S75" s="11" t="n">
        <v>11</v>
      </c>
    </row>
    <row r="76" ht="44.5" customHeight="1">
      <c r="A76" s="11" t="n">
        <v>7</v>
      </c>
      <c r="B76" s="12" t="inlineStr">
        <is>
          <t>opportunities_capacity</t>
        </is>
      </c>
      <c r="C76" s="22" t="inlineStr">
        <is>
          <t>Opportunities a salesperson can manage at once</t>
        </is>
      </c>
      <c r="D76" s="12" t="inlineStr">
        <is>
          <t>Most qualified opportunities a salesperson can hold and advance well at the same time</t>
        </is>
      </c>
      <c r="E76" s="12" t="inlineStr">
        <is>
          <t>count</t>
        </is>
      </c>
      <c r="F76" s="26" t="inlineStr">
        <is>
          <t>Reference value</t>
        </is>
      </c>
      <c r="G76" s="33">
        <f>IF(F76="Validated actual",IF(H76="","",H76),IF(F76="Calculated",IF(I76="","",I76),IF(F76="Reference value",IF(J76="","",J76),IF(F76="Judgment",IF(K76="","",K76),""))))</f>
        <v/>
      </c>
      <c r="H76" s="34" t="n"/>
      <c r="I76" s="29" t="n"/>
      <c r="J76" s="34" t="n">
        <v>30</v>
      </c>
      <c r="K76" s="34" t="n"/>
      <c r="L76" s="34" t="n"/>
      <c r="M76" s="34" t="n"/>
      <c r="N76" s="26" t="inlineStr">
        <is>
          <t>As-is model sample (illustrative)</t>
        </is>
      </c>
      <c r="O76" s="12" t="inlineStr">
        <is>
          <t>Sales Operations</t>
        </is>
      </c>
      <c r="P76" s="12" t="inlineStr">
        <is>
          <t>Sales leader judgment</t>
        </is>
      </c>
      <c r="Q76" s="12" t="inlineStr">
        <is>
          <t>Win rate and cycle hold steady at loads above this level</t>
        </is>
      </c>
      <c r="R76" s="32">
        <f>IF(OR(K76="",G76="",F76="Judgment"),"",IFERROR(K76/G76-1,""))</f>
        <v/>
      </c>
      <c r="S76" s="11" t="n">
        <v>12</v>
      </c>
    </row>
    <row r="77">
      <c r="A77" s="20" t="inlineStr">
        <is>
          <t>Step 8. Compensation plan  ·  Owner: Compensation</t>
        </is>
      </c>
      <c r="B77" s="21" t="n"/>
      <c r="C77" s="21" t="n"/>
      <c r="D77" s="21" t="n"/>
      <c r="E77" s="21" t="n"/>
      <c r="F77" s="21" t="n"/>
      <c r="G77" s="21" t="n"/>
      <c r="H77" s="21" t="n"/>
      <c r="I77" s="21" t="n"/>
      <c r="J77" s="21" t="n"/>
      <c r="K77" s="21" t="n"/>
      <c r="L77" s="21" t="n"/>
      <c r="M77" s="21" t="n"/>
      <c r="N77" s="21" t="n"/>
      <c r="O77" s="21" t="n"/>
      <c r="P77" s="21" t="n"/>
      <c r="Q77" s="21" t="n"/>
      <c r="R77" s="21" t="n"/>
      <c r="S77" s="21" t="n"/>
    </row>
    <row r="78" ht="31" customHeight="1">
      <c r="A78" s="11" t="n">
        <v>8</v>
      </c>
      <c r="B78" s="12" t="inlineStr">
        <is>
          <t>commission_rate</t>
        </is>
      </c>
      <c r="C78" s="22" t="inlineStr">
        <is>
          <t>Commission rate</t>
        </is>
      </c>
      <c r="D78" s="12" t="inlineStr">
        <is>
          <t>Actual: the plan rate. Calculated: commissions paid ÷ revenue</t>
        </is>
      </c>
      <c r="E78" s="12" t="inlineStr">
        <is>
          <t>ratio</t>
        </is>
      </c>
      <c r="F78" s="26" t="inlineStr">
        <is>
          <t>Reference value</t>
        </is>
      </c>
      <c r="G78" s="36">
        <f>IF(F78="Validated actual",IF(H78="","",H78),IF(F78="Calculated",IF(I78="","",I78),IF(F78="Reference value",IF(J78="","",J78),IF(F78="Judgment",IF(K78="","",K78),""))))</f>
        <v/>
      </c>
      <c r="H78" s="37" t="n"/>
      <c r="I78" s="38">
        <f>IFERROR(v_commissions_paid/v_revenue,"")</f>
        <v/>
      </c>
      <c r="J78" s="37" t="n">
        <v>0.08</v>
      </c>
      <c r="K78" s="37" t="n"/>
      <c r="L78" s="37" t="n"/>
      <c r="M78" s="37" t="n"/>
      <c r="N78" s="26" t="inlineStr">
        <is>
          <t>As-is model sample (illustrative)</t>
        </is>
      </c>
      <c r="O78" s="12" t="inlineStr">
        <is>
          <t>Compensation</t>
        </is>
      </c>
      <c r="P78" s="12" t="inlineStr">
        <is>
          <t>Compensation plan</t>
        </is>
      </c>
      <c r="Q78" s="12" t="inlineStr">
        <is>
          <t>Commissions paid ÷ revenue differs from the plan rate</t>
        </is>
      </c>
      <c r="R78" s="32">
        <f>IF(OR(K78="",G78="",F78="Judgment"),"",IFERROR(K78/G78-1,""))</f>
        <v/>
      </c>
      <c r="S78" s="11" t="n">
        <v>5</v>
      </c>
    </row>
    <row r="79">
      <c r="A79" s="20" t="inlineStr">
        <is>
          <t>Step 9. Vacancy and hiring timeline  ·  Owner: HR and Finance</t>
        </is>
      </c>
      <c r="B79" s="21" t="n"/>
      <c r="C79" s="21" t="n"/>
      <c r="D79" s="21" t="n"/>
      <c r="E79" s="21" t="n"/>
      <c r="F79" s="21" t="n"/>
      <c r="G79" s="21" t="n"/>
      <c r="H79" s="21" t="n"/>
      <c r="I79" s="21" t="n"/>
      <c r="J79" s="21" t="n"/>
      <c r="K79" s="21" t="n"/>
      <c r="L79" s="21" t="n"/>
      <c r="M79" s="21" t="n"/>
      <c r="N79" s="21" t="n"/>
      <c r="O79" s="21" t="n"/>
      <c r="P79" s="21" t="n"/>
      <c r="Q79" s="21" t="n"/>
      <c r="R79" s="21" t="n"/>
      <c r="S79" s="21" t="n"/>
    </row>
    <row r="80" ht="31" customHeight="1">
      <c r="A80" s="11" t="n">
        <v>9</v>
      </c>
      <c r="B80" s="12" t="inlineStr">
        <is>
          <t>ramp_months</t>
        </is>
      </c>
      <c r="C80" s="22" t="inlineStr">
        <is>
          <t>Ramp time (months)</t>
        </is>
      </c>
      <c r="D80" s="12" t="inlineStr">
        <is>
          <t>Months until a new salesperson reaches average productivity</t>
        </is>
      </c>
      <c r="E80" s="12" t="inlineStr">
        <is>
          <t>months</t>
        </is>
      </c>
      <c r="F80" s="26" t="inlineStr">
        <is>
          <t>Reference value</t>
        </is>
      </c>
      <c r="G80" s="43">
        <f>IF(F80="Validated actual",IF(H80="","",H80),IF(F80="Calculated",IF(I80="","",I80),IF(F80="Reference value",IF(J80="","",J80),IF(F80="Judgment",IF(K80="","",K80),""))))</f>
        <v/>
      </c>
      <c r="H80" s="44" t="n"/>
      <c r="I80" s="29" t="n"/>
      <c r="J80" s="44" t="n">
        <v>12</v>
      </c>
      <c r="K80" s="44" t="n"/>
      <c r="L80" s="44" t="n"/>
      <c r="M80" s="44" t="n"/>
      <c r="N80" s="26" t="inlineStr">
        <is>
          <t>As-is model sample (illustrative)</t>
        </is>
      </c>
      <c r="O80" s="12" t="inlineStr">
        <is>
          <t>HR and Finance</t>
        </is>
      </c>
      <c r="P80" s="12" t="inlineStr">
        <is>
          <t>Sales manager, or productivity by tenure</t>
        </is>
      </c>
      <c r="Q80" s="12" t="inlineStr">
        <is>
          <t>New-hire productivity by month differs</t>
        </is>
      </c>
      <c r="R80" s="32">
        <f>IF(OR(K80="",G80="",F80="Judgment"),"",IFERROR(K80/G80-1,""))</f>
        <v/>
      </c>
      <c r="S80" s="11" t="n">
        <v>9</v>
      </c>
    </row>
    <row r="81" ht="31" customHeight="1">
      <c r="A81" s="11" t="n">
        <v>9</v>
      </c>
      <c r="B81" s="12" t="inlineStr">
        <is>
          <t>time_to_fill_days</t>
        </is>
      </c>
      <c r="C81" s="22" t="inlineStr">
        <is>
          <t>Days to fill an open territory (average)</t>
        </is>
      </c>
      <c r="D81" s="12" t="inlineStr">
        <is>
          <t>From vacancy to the new salesperson's start date</t>
        </is>
      </c>
      <c r="E81" s="12" t="inlineStr">
        <is>
          <t>days</t>
        </is>
      </c>
      <c r="F81" s="26" t="inlineStr">
        <is>
          <t>Validated actual</t>
        </is>
      </c>
      <c r="G81" s="33">
        <f>IF(F81="Validated actual",IF(H81="","",H81),IF(F81="Calculated",IF(I81="","",I81),IF(F81="Reference value",IF(J81="","",J81),IF(F81="Judgment",IF(K81="","",K81),""))))</f>
        <v/>
      </c>
      <c r="H81" s="34" t="n"/>
      <c r="I81" s="29" t="n"/>
      <c r="J81" s="34" t="n"/>
      <c r="K81" s="34" t="n"/>
      <c r="L81" s="34" t="n"/>
      <c r="M81" s="34" t="n"/>
      <c r="N81" s="26" t="inlineStr"/>
      <c r="O81" s="12" t="inlineStr">
        <is>
          <t>HR and Finance</t>
        </is>
      </c>
      <c r="P81" s="12" t="inlineStr">
        <is>
          <t>HR requisition records</t>
        </is>
      </c>
      <c r="Q81" s="12" t="inlineStr">
        <is>
          <t>Vacancy records differ</t>
        </is>
      </c>
      <c r="R81" s="32">
        <f>IF(OR(K81="",G81="",F81="Judgment"),"",IFERROR(K81/G81-1,""))</f>
        <v/>
      </c>
      <c r="S81" s="11" t="n">
        <v>9</v>
      </c>
    </row>
    <row r="82" ht="17.5" customHeight="1">
      <c r="A82" s="11" t="n">
        <v>9</v>
      </c>
      <c r="B82" s="12" t="inlineStr">
        <is>
          <t>approval_days</t>
        </is>
      </c>
      <c r="C82" s="22" t="inlineStr">
        <is>
          <t>Days to approve a requisition (average)</t>
        </is>
      </c>
      <c r="D82" s="12" t="inlineStr">
        <is>
          <t>From vacancy to approved requisition</t>
        </is>
      </c>
      <c r="E82" s="12" t="inlineStr">
        <is>
          <t>days</t>
        </is>
      </c>
      <c r="F82" s="26" t="inlineStr">
        <is>
          <t>Validated actual</t>
        </is>
      </c>
      <c r="G82" s="33">
        <f>IF(F82="Validated actual",IF(H82="","",H82),IF(F82="Calculated",IF(I82="","",I82),IF(F82="Reference value",IF(J82="","",J82),IF(F82="Judgment",IF(K82="","",K82),""))))</f>
        <v/>
      </c>
      <c r="H82" s="34" t="n"/>
      <c r="I82" s="29" t="n"/>
      <c r="J82" s="34" t="n"/>
      <c r="K82" s="34" t="n"/>
      <c r="L82" s="34" t="n"/>
      <c r="M82" s="34" t="n"/>
      <c r="N82" s="26" t="inlineStr"/>
      <c r="O82" s="12" t="inlineStr">
        <is>
          <t>HR and Finance</t>
        </is>
      </c>
      <c r="P82" s="12" t="inlineStr">
        <is>
          <t>HR and Finance approval records</t>
        </is>
      </c>
      <c r="Q82" s="12" t="inlineStr">
        <is>
          <t>Approval records differ</t>
        </is>
      </c>
      <c r="R82" s="32">
        <f>IF(OR(K82="",G82="",F82="Judgment"),"",IFERROR(K82/G82-1,""))</f>
        <v/>
      </c>
      <c r="S82" s="11" t="n">
        <v>9</v>
      </c>
    </row>
    <row r="83">
      <c r="A83" s="20" t="inlineStr">
        <is>
          <t>Step 10. Rules and definitions  ·  Owner: Sales Operations and Finance</t>
        </is>
      </c>
      <c r="B83" s="21" t="n"/>
      <c r="C83" s="21" t="n"/>
      <c r="D83" s="21" t="n"/>
      <c r="E83" s="21" t="n"/>
      <c r="F83" s="21" t="n"/>
      <c r="G83" s="21" t="n"/>
      <c r="H83" s="21" t="n"/>
      <c r="I83" s="21" t="n"/>
      <c r="J83" s="21" t="n"/>
      <c r="K83" s="21" t="n"/>
      <c r="L83" s="21" t="n"/>
      <c r="M83" s="21" t="n"/>
      <c r="N83" s="21" t="n"/>
      <c r="O83" s="21" t="n"/>
      <c r="P83" s="21" t="n"/>
      <c r="Q83" s="21" t="n"/>
      <c r="R83" s="21" t="n"/>
      <c r="S83" s="21" t="n"/>
    </row>
    <row r="84" ht="31" customHeight="1">
      <c r="A84" s="11" t="n">
        <v>10</v>
      </c>
      <c r="B84" s="12" t="inlineStr">
        <is>
          <t>qualification_definition</t>
        </is>
      </c>
      <c r="C84" s="22" t="inlineStr">
        <is>
          <t>When an opportunity counts as qualified</t>
        </is>
      </c>
      <c r="D84" s="12" t="inlineStr">
        <is>
          <t>The rule the CRM stage uses</t>
        </is>
      </c>
      <c r="E84" s="12" t="inlineStr">
        <is>
          <t>text</t>
        </is>
      </c>
      <c r="F84" s="26" t="inlineStr">
        <is>
          <t>Validated actual</t>
        </is>
      </c>
      <c r="G84" s="27">
        <f>IF(F84="Validated actual",IF(H84="","",H84),IF(F84="Calculated",IF(I84="","",I84),IF(F84="Reference value",IF(J84="","",J84),IF(F84="Judgment",IF(K84="","",K84),""))))</f>
        <v/>
      </c>
      <c r="H84" s="28" t="n"/>
      <c r="I84" s="29" t="n"/>
      <c r="J84" s="28" t="n"/>
      <c r="K84" s="28" t="n"/>
      <c r="L84" s="28" t="n"/>
      <c r="M84" s="28" t="n"/>
      <c r="N84" s="26" t="inlineStr"/>
      <c r="O84" s="12" t="inlineStr">
        <is>
          <t>Sales Operations and Finance</t>
        </is>
      </c>
      <c r="P84" s="12" t="inlineStr">
        <is>
          <t>Sales Operations</t>
        </is>
      </c>
      <c r="Q84" s="12" t="inlineStr">
        <is>
          <t>Qualified opportunities do not meet the stated rule</t>
        </is>
      </c>
      <c r="R84" s="12" t="n"/>
      <c r="S84" s="11" t="n">
        <v>5</v>
      </c>
    </row>
    <row r="85" ht="31" customHeight="1">
      <c r="A85" s="11" t="n">
        <v>10</v>
      </c>
      <c r="B85" s="12" t="inlineStr">
        <is>
          <t>hiring_approval_rule</t>
        </is>
      </c>
      <c r="C85" s="22" t="inlineStr">
        <is>
          <t>Steps and approvers to fill a territory</t>
        </is>
      </c>
      <c r="D85" s="12" t="inlineStr">
        <is>
          <t>Who approves a requisition, in what order</t>
        </is>
      </c>
      <c r="E85" s="12" t="inlineStr">
        <is>
          <t>text</t>
        </is>
      </c>
      <c r="F85" s="26" t="inlineStr">
        <is>
          <t>Validated actual</t>
        </is>
      </c>
      <c r="G85" s="27">
        <f>IF(F85="Validated actual",IF(H85="","",H85),IF(F85="Calculated",IF(I85="","",I85),IF(F85="Reference value",IF(J85="","",J85),IF(F85="Judgment",IF(K85="","",K85),""))))</f>
        <v/>
      </c>
      <c r="H85" s="28" t="n"/>
      <c r="I85" s="29" t="n"/>
      <c r="J85" s="28" t="n"/>
      <c r="K85" s="28" t="n"/>
      <c r="L85" s="28" t="n"/>
      <c r="M85" s="28" t="n"/>
      <c r="N85" s="26" t="inlineStr"/>
      <c r="O85" s="12" t="inlineStr">
        <is>
          <t>Sales Operations and Finance</t>
        </is>
      </c>
      <c r="P85" s="12" t="inlineStr">
        <is>
          <t>HR and Finance</t>
        </is>
      </c>
      <c r="Q85" s="12" t="inlineStr">
        <is>
          <t>Approval records follow a different path</t>
        </is>
      </c>
      <c r="R85" s="12" t="n"/>
      <c r="S85" s="11" t="n">
        <v>5</v>
      </c>
    </row>
    <row r="86" ht="31" customHeight="1">
      <c r="A86" s="11" t="n">
        <v>10</v>
      </c>
      <c r="B86" s="12" t="inlineStr">
        <is>
          <t>design_authority</t>
        </is>
      </c>
      <c r="C86" s="22" t="inlineStr">
        <is>
          <t>Who can change territory design or roles</t>
        </is>
      </c>
      <c r="D86" s="12" t="inlineStr">
        <is>
          <t>Who decides territories, coverage and roles</t>
        </is>
      </c>
      <c r="E86" s="12" t="inlineStr">
        <is>
          <t>text</t>
        </is>
      </c>
      <c r="F86" s="26" t="inlineStr">
        <is>
          <t>Validated actual</t>
        </is>
      </c>
      <c r="G86" s="27">
        <f>IF(F86="Validated actual",IF(H86="","",H86),IF(F86="Calculated",IF(I86="","",I86),IF(F86="Reference value",IF(J86="","",J86),IF(F86="Judgment",IF(K86="","",K86),""))))</f>
        <v/>
      </c>
      <c r="H86" s="28" t="n"/>
      <c r="I86" s="29" t="n"/>
      <c r="J86" s="28" t="n"/>
      <c r="K86" s="28" t="n"/>
      <c r="L86" s="28" t="n"/>
      <c r="M86" s="28" t="n"/>
      <c r="N86" s="26" t="inlineStr"/>
      <c r="O86" s="12" t="inlineStr">
        <is>
          <t>Sales Operations and Finance</t>
        </is>
      </c>
      <c r="P86" s="12" t="inlineStr">
        <is>
          <t>Sponsor</t>
        </is>
      </c>
      <c r="Q86" s="12" t="inlineStr">
        <is>
          <t>Changes were made by someone else</t>
        </is>
      </c>
      <c r="R86" s="12" t="n"/>
      <c r="S86" s="11" t="n">
        <v>4</v>
      </c>
    </row>
    <row r="88">
      <c r="A88" s="20" t="inlineStr">
        <is>
          <t>Step 11. Reconcile and sign  ·  Owner: Finance lead  ·  For each check that needs review: fix an entry, explain the gap, or accept it as a known gap</t>
        </is>
      </c>
      <c r="B88" s="21" t="n"/>
      <c r="C88" s="21" t="n"/>
      <c r="D88" s="21" t="n"/>
      <c r="E88" s="21" t="n"/>
      <c r="F88" s="21" t="n"/>
      <c r="G88" s="21" t="n"/>
      <c r="H88" s="21" t="n"/>
      <c r="I88" s="21" t="n"/>
      <c r="J88" s="21" t="n"/>
      <c r="K88" s="21" t="n"/>
      <c r="L88" s="21" t="n"/>
      <c r="M88" s="21" t="n"/>
      <c r="N88" s="21" t="n"/>
      <c r="O88" s="21" t="n"/>
      <c r="P88" s="21" t="n"/>
      <c r="Q88" s="21" t="n"/>
      <c r="R88" s="21" t="n"/>
      <c r="S88" s="21" t="n"/>
    </row>
    <row r="89" ht="30" customHeight="1">
      <c r="B89" s="19" t="inlineStr">
        <is>
          <t>Check ID</t>
        </is>
      </c>
      <c r="C89" s="19" t="inlineStr">
        <is>
          <t>Check</t>
        </is>
      </c>
      <c r="D89" s="19" t="inlineStr">
        <is>
          <t>What it compares</t>
        </is>
      </c>
      <c r="F89" s="19" t="inlineStr">
        <is>
          <t>Tolerance</t>
        </is>
      </c>
      <c r="G89" s="19" t="inlineStr">
        <is>
          <t>Status</t>
        </is>
      </c>
      <c r="H89" s="19" t="inlineStr">
        <is>
          <t>Implied by entries</t>
        </is>
      </c>
      <c r="I89" s="19" t="inlineStr">
        <is>
          <t>Observed</t>
        </is>
      </c>
      <c r="J89" s="19" t="inlineStr">
        <is>
          <t>Gap</t>
        </is>
      </c>
      <c r="K89" s="19" t="inlineStr">
        <is>
          <t>Entries that could be wrong</t>
        </is>
      </c>
      <c r="L89" s="19" t="inlineStr">
        <is>
          <t>Resolution</t>
        </is>
      </c>
      <c r="M89" s="19" t="inlineStr">
        <is>
          <t>Category</t>
        </is>
      </c>
      <c r="N89" s="19" t="inlineStr">
        <is>
          <t>Note</t>
        </is>
      </c>
    </row>
    <row r="90" ht="17.5" customHeight="1">
      <c r="B90" s="12" t="inlineStr">
        <is>
          <t>deal_size_triangulation</t>
        </is>
      </c>
      <c r="C90" s="22" t="inlineStr">
        <is>
          <t>Deal size</t>
        </is>
      </c>
      <c r="D90" s="12" t="inlineStr">
        <is>
          <t>Revenue ÷ contracts vs the deal size used</t>
        </is>
      </c>
      <c r="F90" s="45" t="n">
        <v>0.1</v>
      </c>
      <c r="G90" s="46">
        <f>IF(OR(H90="",I90=""),"NEEDS DATA",IF(ABS(J90)&lt;=F90,"PASS","REVIEW"))</f>
        <v/>
      </c>
      <c r="H90" s="39">
        <f>IFERROR(v_revenue/v_contracts,"")</f>
        <v/>
      </c>
      <c r="I90" s="39">
        <f>IF(v_deal_size="","",v_deal_size)</f>
        <v/>
      </c>
      <c r="J90" s="47">
        <f>IF(OR(H90="",I90=""),"",IFERROR(I90/H90-1,""))</f>
        <v/>
      </c>
      <c r="K90" s="12" t="inlineStr">
        <is>
          <t>Revenue, contracts, deal size</t>
        </is>
      </c>
      <c r="L90" s="15" t="n"/>
      <c r="M90" s="15" t="n"/>
      <c r="N90" s="15" t="n"/>
    </row>
    <row r="91" ht="31" customHeight="1">
      <c r="B91" s="12" t="inlineStr">
        <is>
          <t>contracts_implication</t>
        </is>
      </c>
      <c r="C91" s="22" t="inlineStr">
        <is>
          <t>Contracts implied</t>
        </is>
      </c>
      <c r="D91" s="12" t="inlineStr">
        <is>
          <t>Territories × capacity × 12 ÷ cycle × close rate vs contracts</t>
        </is>
      </c>
      <c r="F91" s="45" t="n">
        <v>0.1</v>
      </c>
      <c r="G91" s="46">
        <f>IF(OR(H91="",I91=""),"NEEDS DATA",IF(ABS(J91)&lt;=F91,"PASS","REVIEW"))</f>
        <v/>
      </c>
      <c r="H91" s="48">
        <f>IFERROR(v_territory_count*v_opportunities_capacity*12/v_cycle_months*v_win_rate,"")</f>
        <v/>
      </c>
      <c r="I91" s="48">
        <f>IF(v_contracts="","",v_contracts)</f>
        <v/>
      </c>
      <c r="J91" s="47">
        <f>IF(OR(H91="",I91=""),"",IFERROR(I91/H91-1,""))</f>
        <v/>
      </c>
      <c r="K91" s="12" t="inlineStr">
        <is>
          <t>Territories, capacity, cycle, close rate</t>
        </is>
      </c>
      <c r="L91" s="15" t="n"/>
      <c r="M91" s="15" t="n"/>
      <c r="N91" s="15" t="n"/>
    </row>
    <row r="92" ht="31" customHeight="1">
      <c r="B92" s="12" t="inlineStr">
        <is>
          <t>revenue_implication</t>
        </is>
      </c>
      <c r="C92" s="22" t="inlineStr">
        <is>
          <t>Revenue implied</t>
        </is>
      </c>
      <c r="D92" s="12" t="inlineStr">
        <is>
          <t>Implied contracts × deal size vs revenue</t>
        </is>
      </c>
      <c r="F92" s="45" t="n">
        <v>0.1</v>
      </c>
      <c r="G92" s="46">
        <f>IF(OR(H92="",I92=""),"NEEDS DATA",IF(ABS(J92)&lt;=F92,"PASS","REVIEW"))</f>
        <v/>
      </c>
      <c r="H92" s="39">
        <f>IFERROR(v_territory_count*v_opportunities_capacity*12/v_cycle_months*v_win_rate*v_deal_size,"")</f>
        <v/>
      </c>
      <c r="I92" s="39">
        <f>IF(v_revenue="","",v_revenue)</f>
        <v/>
      </c>
      <c r="J92" s="47">
        <f>IF(OR(H92="",I92=""),"",IFERROR(I92/H92-1,""))</f>
        <v/>
      </c>
      <c r="K92" s="12" t="inlineStr">
        <is>
          <t>Territories, capacity, cycle, close rate, deal size</t>
        </is>
      </c>
      <c r="L92" s="15" t="n"/>
      <c r="M92" s="15" t="n"/>
      <c r="N92" s="15" t="n"/>
    </row>
    <row r="93" ht="44.5" customHeight="1">
      <c r="B93" s="12" t="inlineStr">
        <is>
          <t>littles_law</t>
        </is>
      </c>
      <c r="C93" s="22" t="inlineStr">
        <is>
          <t>Little's Law</t>
        </is>
      </c>
      <c r="D93" s="12" t="inlineStr">
        <is>
          <t>Contracts ÷ close rate ÷ productive salespeople × cycle ÷ 12 vs opportunities held</t>
        </is>
      </c>
      <c r="F93" s="45" t="n">
        <v>0.25</v>
      </c>
      <c r="G93" s="46">
        <f>IF(OR(H93="",I93=""),"NEEDS DATA",IF(ABS(J93)&lt;=F93,"PASS","REVIEW"))</f>
        <v/>
      </c>
      <c r="H93" s="49">
        <f>IFERROR(v_contracts/v_win_rate/v_productive_salespeople*v_cycle_months/12,"")</f>
        <v/>
      </c>
      <c r="I93" s="49">
        <f>IF(v_opportunities_load="","",v_opportunities_load)</f>
        <v/>
      </c>
      <c r="J93" s="47">
        <f>IF(OR(H93="",I93=""),"",IFERROR(I93/H93-1,""))</f>
        <v/>
      </c>
      <c r="K93" s="12" t="inlineStr">
        <is>
          <t>Contracts, close rate, productive salespeople, cycle, opportunities held</t>
        </is>
      </c>
      <c r="L93" s="15" t="n"/>
      <c r="M93" s="15" t="n"/>
      <c r="N93" s="15" t="n"/>
    </row>
    <row r="94" ht="31" customHeight="1">
      <c r="B94" s="12" t="inlineStr">
        <is>
          <t>territory_counts</t>
        </is>
      </c>
      <c r="C94" s="22" t="inlineStr">
        <is>
          <t>Territory count</t>
        </is>
      </c>
      <c r="D94" s="12" t="inlineStr">
        <is>
          <t>Filled seats + open territories vs funded territories</t>
        </is>
      </c>
      <c r="F94" s="45" t="n">
        <v>0</v>
      </c>
      <c r="G94" s="46">
        <f>IF(OR(H94="",I94=""),"NEEDS DATA",IF(ABS(J94)&lt;=F94,"PASS","REVIEW"))</f>
        <v/>
      </c>
      <c r="H94" s="48">
        <f>IFERROR(v_filled_seats+v_open_territories,"")</f>
        <v/>
      </c>
      <c r="I94" s="48">
        <f>IF(v_territory_count="","",v_territory_count)</f>
        <v/>
      </c>
      <c r="J94" s="47">
        <f>IF(OR(H94="",I94=""),"",IFERROR(I94/H94-1,""))</f>
        <v/>
      </c>
      <c r="K94" s="12" t="inlineStr">
        <is>
          <t>Filled seats, open territories, funded territories</t>
        </is>
      </c>
      <c r="L94" s="15" t="n"/>
      <c r="M94" s="15" t="n"/>
      <c r="N94" s="15" t="n"/>
    </row>
    <row r="95" ht="31" customHeight="1">
      <c r="B95" s="12" t="inlineStr">
        <is>
          <t>expected_yield_plan</t>
        </is>
      </c>
      <c r="C95" s="22" t="inlineStr">
        <is>
          <t>Expected yield vs plan</t>
        </is>
      </c>
      <c r="D95" s="12" t="inlineStr">
        <is>
          <t>Territories × expected yield vs revenue plan</t>
        </is>
      </c>
      <c r="F95" s="45" t="n">
        <v>0.05</v>
      </c>
      <c r="G95" s="46">
        <f>IF(OR(H95="",I95=""),"NEEDS DATA",IF(ABS(J95)&lt;=F95,"PASS","REVIEW"))</f>
        <v/>
      </c>
      <c r="H95" s="39">
        <f>IFERROR(v_territory_count*v_expected_yield,"")</f>
        <v/>
      </c>
      <c r="I95" s="39">
        <f>IF(v_plan_target="","",v_plan_target)</f>
        <v/>
      </c>
      <c r="J95" s="47">
        <f>IF(OR(H95="",I95=""),"",IFERROR(I95/H95-1,""))</f>
        <v/>
      </c>
      <c r="K95" s="12" t="inlineStr">
        <is>
          <t>Territories, expected yield, plan</t>
        </is>
      </c>
      <c r="L95" s="15" t="n"/>
      <c r="M95" s="15" t="n"/>
      <c r="N95" s="15" t="n"/>
    </row>
    <row r="96" ht="31" customHeight="1">
      <c r="B96" s="12" t="inlineStr">
        <is>
          <t>comp_ledger</t>
        </is>
      </c>
      <c r="C96" s="22" t="inlineStr">
        <is>
          <t>Compensation vs ledger</t>
        </is>
      </c>
      <c r="D96" s="12" t="inlineStr">
        <is>
          <t>Salespeople × loaded salary + commission × revenue vs ledger compensation</t>
        </is>
      </c>
      <c r="F96" s="45" t="n">
        <v>0.1</v>
      </c>
      <c r="G96" s="46">
        <f>IF(OR(H96="",I96=""),"NEEDS DATA",IF(ABS(J96)&lt;=F96,"PASS","REVIEW"))</f>
        <v/>
      </c>
      <c r="H96" s="39">
        <f>IFERROR(v_filled_seats*v_loaded_salary+v_commission_rate*v_revenue,"")</f>
        <v/>
      </c>
      <c r="I96" s="39">
        <f>IF(v_sales_comp_expense="","",v_sales_comp_expense)</f>
        <v/>
      </c>
      <c r="J96" s="47">
        <f>IF(OR(H96="",I96=""),"",IFERROR(I96/H96-1,""))</f>
        <v/>
      </c>
      <c r="K96" s="12" t="inlineStr">
        <is>
          <t>Salespeople, loaded salary, commission rate, revenue</t>
        </is>
      </c>
      <c r="L96" s="15" t="n"/>
      <c r="M96" s="15" t="n"/>
      <c r="N96" s="15" t="n"/>
    </row>
    <row r="97" ht="30" customHeight="1">
      <c r="B97" s="12" t="inlineStr">
        <is>
          <t>utilization</t>
        </is>
      </c>
      <c r="C97" s="22" t="inlineStr">
        <is>
          <t>Utilization</t>
        </is>
      </c>
      <c r="D97" s="12" t="inlineStr">
        <is>
          <t>Opportunities held ÷ opportunities a salesperson can manage; cannot exceed 100%</t>
        </is>
      </c>
      <c r="F97" s="45" t="n">
        <v>1</v>
      </c>
      <c r="G97" s="46">
        <f>IF(H97="","NEEDS DATA",IF(H97&lt;=F97,"PASS","REVIEW"))</f>
        <v/>
      </c>
      <c r="H97" s="50">
        <f>IFERROR(v_opportunities_load/v_opportunities_capacity,"")</f>
        <v/>
      </c>
      <c r="I97" s="51" t="n"/>
      <c r="J97" s="51" t="n"/>
      <c r="K97" s="12" t="inlineStr">
        <is>
          <t>Opportunities held, capacity</t>
        </is>
      </c>
      <c r="L97" s="15" t="n"/>
      <c r="M97" s="15" t="n"/>
      <c r="N97" s="15" t="n"/>
    </row>
  </sheetData>
  <mergeCells count="2">
    <mergeCell ref="A2:Q2"/>
    <mergeCell ref="F4:J4"/>
  </mergeCells>
  <conditionalFormatting sqref="G90:G97">
    <cfRule type="cellIs" priority="1" operator="equal" dxfId="0">
      <formula>"PASS"</formula>
    </cfRule>
    <cfRule type="cellIs" priority="2" operator="equal" dxfId="1">
      <formula>"REVIEW"</formula>
    </cfRule>
    <cfRule type="cellIs" priority="3" operator="equal" dxfId="2">
      <formula>"NEEDS DATA"</formula>
    </cfRule>
  </conditionalFormatting>
  <dataValidations count="5">
    <dataValidation sqref="D4" showDropDown="0" showInputMessage="0" showErrorMessage="0" allowBlank="0" type="list">
      <formula1>"Draft,Working model,In Finance review,Signed by Finance"</formula1>
    </dataValidation>
    <dataValidation sqref="F17 F18 F19 F21 F22 F23 F24 F25 F26 F27 F28 F29 F31 F32 F33 F34 F35 F36 F37 F38 F39 F40 F41 F42 F43 F44 F45 F46 F47 F48 F49 F50 F51 F52 F53 F54 F55 F56 F57 F58 F60 F61 F62 F63 F65 F66 F67 F69 F70 F71 F72 F73 F74 F75 F76 F78 F80 F81 F82 F84 F85 F86" showDropDown="0" showInputMessage="0" showErrorMessage="0" allowBlank="1" type="list">
      <formula1>"Validated actual,Calculated,Reference value,Judgment"</formula1>
    </dataValidation>
    <dataValidation sqref="G15" showDropDown="0" showInputMessage="0" showErrorMessage="0" allowBlank="0" type="list">
      <formula1>"Recognized revenue,Bookings"</formula1>
    </dataValidation>
    <dataValidation sqref="L90 L91 L92 L93 L94 L95 L96 L97" showDropDown="0" showInputMessage="0" showErrorMessage="0" allowBlank="1" type="list">
      <formula1>"Fixed,Explained,Accepted as known gap"</formula1>
    </dataValidation>
    <dataValidation sqref="M90 M91 M92 M93 M94 M95 M96 M97" showDropDown="0" showInputMessage="0" showErrorMessage="0" allowBlank="1" type="list">
      <formula1>"Definition,Timing,Scope,Data quality,Reference value,Other"</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Growth Enablement</dc:creator>
  <dc:title>Commercial Effectiveness Model</dc:title>
  <dcterms:created xsi:type="dcterms:W3CDTF">2026-10-25T01:31:58Z</dcterms:created>
  <dcterms:modified xsi:type="dcterms:W3CDTF">2026-10-25T01:31:58Z</dcterms:modified>
</cp:coreProperties>
</file>