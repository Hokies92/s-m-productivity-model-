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tion" sheetId="1" state="visible" r:id="rId1"/>
    <sheet name="1) Data Entry" sheetId="2" state="visible" r:id="rId2"/>
    <sheet name="1) Data Entry Logic" sheetId="3" state="visible" r:id="rId3"/>
    <sheet name="2) What-If" sheetId="4" state="visible" r:id="rId4"/>
    <sheet name="2) What-If Logic" sheetId="5" state="visible" r:id="rId5"/>
  </sheets>
  <definedNames>
    <definedName name="v_revenue">'1) Data Entry Logic'!$I$8</definedName>
    <definedName name="v_contracts">'1) Data Entry Logic'!$I$9</definedName>
    <definedName name="v_cost_of_revenue_amt">'1) Data Entry Logic'!$I$10</definedName>
    <definedName name="v_cost_of_revenue_pct">'1) Data Entry Logic'!$I$11</definedName>
    <definedName name="v_rnd_amt">'1) Data Entry Logic'!$I$12</definedName>
    <definedName name="v_rnd_pct">'1) Data Entry Logic'!$I$13</definedName>
    <definedName name="v_gna_amt">'1) Data Entry Logic'!$I$14</definedName>
    <definedName name="v_gna_pct">'1) Data Entry Logic'!$I$15</definedName>
    <definedName name="v_base_salary">'1) Data Entry Logic'!$I$16</definedName>
    <definedName name="v_load_rate">'1) Data Entry Logic'!$I$17</definedName>
    <definedName name="v_loaded_salary">'1) Data Entry Logic'!$I$18</definedName>
    <definedName name="v_trip_fare">'1) Data Entry Logic'!$I$19</definedName>
    <definedName name="v_trip_ground">'1) Data Entry Logic'!$I$20</definedName>
    <definedName name="v_trip_meals">'1) Data Entry Logic'!$I$21</definedName>
    <definedName name="v_trip_lodging">'1) Data Entry Logic'!$I$22</definedName>
    <definedName name="v_trip_days">'1) Data Entry Logic'!$I$23</definedName>
    <definedName name="v_trip_entertainment">'1) Data Entry Logic'!$I$24</definedName>
    <definedName name="v_trips_per_year">'1) Data Entry Logic'!$I$25</definedName>
    <definedName name="v_travel_per_salesperson">'1) Data Entry Logic'!$I$26</definedName>
    <definedName name="v_commissions_paid">'1) Data Entry Logic'!$I$27</definedName>
    <definedName name="v_commission_rate">'1) Data Entry Logic'!$I$28</definedName>
    <definedName name="v_oh_managers">'1) Data Entry Logic'!$I$29</definedName>
    <definedName name="v_oh_engineers">'1) Data Entry Logic'!$I$30</definedName>
    <definedName name="v_oh_admin">'1) Data Entry Logic'!$I$31</definedName>
    <definedName name="v_oh_training">'1) Data Entry Logic'!$I$32</definedName>
    <definedName name="v_oh_incentives">'1) Data Entry Logic'!$I$33</definedName>
    <definedName name="v_sales_overhead">'1) Data Entry Logic'!$I$34</definedName>
    <definedName name="v_mk_people">'1) Data Entry Logic'!$I$35</definedName>
    <definedName name="v_mk_web">'1) Data Entry Logic'!$I$36</definedName>
    <definedName name="v_mk_events">'1) Data Entry Logic'!$I$37</definedName>
    <definedName name="v_mk_ads">'1) Data Entry Logic'!$I$38</definedName>
    <definedName name="v_mk_mail">'1) Data Entry Logic'!$I$39</definedName>
    <definedName name="v_mk_leadgen">'1) Data Entry Logic'!$I$40</definedName>
    <definedName name="v_mk_brand">'1) Data Entry Logic'!$I$41</definedName>
    <definedName name="v_mk_collateral">'1) Data Entry Logic'!$I$42</definedName>
    <definedName name="v_marketing">'1) Data Entry Logic'!$I$43</definedName>
    <definedName name="v_territory_count">'1) Data Entry Logic'!$I$44</definedName>
    <definedName name="v_open_territories">'1) Data Entry Logic'!$I$45</definedName>
    <definedName name="v_filled_seats">'1) Data Entry Logic'!$I$46</definedName>
    <definedName name="v_ramp_months">'1) Data Entry Logic'!$I$47</definedName>
    <definedName name="v_opps_won">'1) Data Entry Logic'!$I$48</definedName>
    <definedName name="v_opps_lost">'1) Data Entry Logic'!$I$49</definedName>
    <definedName name="v_win_rate">'1) Data Entry Logic'!$I$50</definedName>
    <definedName name="v_cycle_months">'1) Data Entry Logic'!$I$51</definedName>
    <definedName name="v_deal_size">'1) Data Entry Logic'!$I$52</definedName>
    <definedName name="v_open_opps_total">'1) Data Entry Logic'!$I$53</definedName>
    <definedName name="v_opportunities_capacity">'1) Data Entry Logic'!$I$54</definedName>
    <definedName name="st_required">'1) Data Entry Logic'!$C$70</definedName>
    <definedName name="st_validated">'1) Data Entry Logic'!$C$71</definedName>
    <definedName name="st_review">'1) Data Entry Logic'!$C$72</definedName>
    <definedName name="v_banner">'1) Data Entry Logic'!$C$73</definedName>
    <definedName name="m_base_revenue">'2) What-If Logic'!$C$25</definedName>
    <definedName name="m_base_contracts">'2) What-If Logic'!$C$23</definedName>
    <definedName name="wi_select">'2) What-If'!$C$7</definedName>
    <definedName name="wi_win">'2) What-If'!$C$8</definedName>
    <definedName name="wi_cycle">'2) What-If'!$C$9</definedName>
    <definedName name="wi_deal">'2) What-If'!$C$10</definedName>
    <definedName name="wi_target">'2) What-If'!$C$11</definedName>
    <definedName name="_xlnm.Print_Titles" localSheetId="1">'1) Data Entry'!$11:$11</definedName>
  </definedNames>
  <calcPr calcId="124519" fullCalcOnLoad="1"/>
</workbook>
</file>

<file path=xl/styles.xml><?xml version="1.0" encoding="utf-8"?>
<styleSheet xmlns="http://schemas.openxmlformats.org/spreadsheetml/2006/main">
  <numFmts count="10">
    <numFmt numFmtId="164" formatCode="$#,##0;($#,##0);&quot;-&quot;"/>
    <numFmt numFmtId="165" formatCode="0.0%"/>
    <numFmt numFmtId="166" formatCode="0.0"/>
    <numFmt numFmtId="167" formatCode="+0.0%;-0.0%;0.0%"/>
    <numFmt numFmtId="168" formatCode="#,##0.0"/>
    <numFmt numFmtId="169" formatCode="+$#,##0;-$#,##0;&quot;-&quot;"/>
    <numFmt numFmtId="170" formatCode="+0.0&quot; pts&quot;;-0.0&quot; pts&quot;"/>
    <numFmt numFmtId="171" formatCode="+#,##0;-#,##0;0"/>
    <numFmt numFmtId="172" formatCode="+#,##0.0;-#,##0.0;0.0"/>
    <numFmt numFmtId="173" formatCode="+0.0;-0.0;0.0"/>
  </numFmts>
  <fonts count="9">
    <font>
      <name val="Calibri"/>
      <family val="2"/>
      <color theme="1"/>
      <sz val="11"/>
      <scheme val="minor"/>
    </font>
    <font>
      <name val="Arial"/>
      <b val="1"/>
      <sz val="16"/>
    </font>
    <font>
      <name val="Arial"/>
      <i val="1"/>
      <color rgb="00595959"/>
      <sz val="9"/>
    </font>
    <font>
      <name val="Arial"/>
      <b val="1"/>
      <sz val="12"/>
    </font>
    <font>
      <name val="Arial"/>
      <sz val="10"/>
    </font>
    <font>
      <name val="Arial"/>
      <b val="1"/>
      <color rgb="00FFFFFF"/>
      <sz val="10"/>
    </font>
    <font>
      <name val="Arial"/>
      <b val="1"/>
      <sz val="10"/>
    </font>
    <font>
      <name val="Arial"/>
      <color rgb="000000FF"/>
      <sz val="10"/>
    </font>
    <font>
      <name val="Arial"/>
      <color rgb="00008000"/>
      <sz val="10"/>
    </font>
  </fonts>
  <fills count="9">
    <fill>
      <patternFill/>
    </fill>
    <fill>
      <patternFill patternType="gray125"/>
    </fill>
    <fill>
      <patternFill patternType="solid">
        <fgColor rgb="001F3864"/>
      </patternFill>
    </fill>
    <fill>
      <patternFill patternType="solid">
        <fgColor rgb="00FFF2CC"/>
      </patternFill>
    </fill>
    <fill>
      <patternFill patternType="solid">
        <fgColor rgb="00F2F2F2"/>
      </patternFill>
    </fill>
    <fill>
      <patternFill patternType="solid">
        <fgColor rgb="00DDEBF7"/>
      </patternFill>
    </fill>
    <fill>
      <patternFill patternType="solid">
        <fgColor rgb="00D9E1F2"/>
      </patternFill>
    </fill>
    <fill>
      <patternFill patternType="solid">
        <fgColor rgb="00FCE4D6"/>
      </patternFill>
    </fill>
    <fill>
      <patternFill patternType="solid">
        <fgColor rgb="00E2EFDA"/>
      </patternFill>
    </fill>
  </fills>
  <borders count="8">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border>
      <left/>
      <right/>
      <top style="thin">
        <color rgb="00BFBFBF"/>
      </top>
      <bottom style="thin">
        <color rgb="00BFBFBF"/>
      </bottom>
      <diagonal/>
    </border>
    <border>
      <left style="thin">
        <color rgb="00BFBFBF"/>
      </left>
      <right style="thin">
        <color rgb="00BFBFBF"/>
      </right>
      <top style="thin">
        <color rgb="00000000"/>
      </top>
      <bottom style="thin">
        <color rgb="00BFBFBF"/>
      </bottom>
    </border>
  </borders>
  <cellStyleXfs count="1">
    <xf numFmtId="0" fontId="0" fillId="0" borderId="0"/>
  </cellStyleXfs>
  <cellXfs count="1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top" wrapText="1"/>
    </xf>
    <xf numFmtId="0" fontId="0" fillId="0" borderId="4" pivotButton="0" quotePrefix="0" xfId="0"/>
    <xf numFmtId="0" fontId="6" fillId="0" borderId="1" applyAlignment="1" pivotButton="0" quotePrefix="0" xfId="0">
      <alignment vertical="top" wrapText="1"/>
    </xf>
    <xf numFmtId="0" fontId="4" fillId="0" borderId="1" applyAlignment="1" pivotButton="0" quotePrefix="0" xfId="0">
      <alignment vertical="top" wrapText="1"/>
    </xf>
    <xf numFmtId="0" fontId="7" fillId="3" borderId="1" pivotButton="0" quotePrefix="0" xfId="0"/>
    <xf numFmtId="0" fontId="4" fillId="0" borderId="0" pivotButton="0" quotePrefix="0" xfId="0"/>
    <xf numFmtId="0" fontId="4" fillId="4" borderId="1" pivotButton="0" quotePrefix="0" xfId="0"/>
    <xf numFmtId="0" fontId="6" fillId="5" borderId="1" pivotButton="0" quotePrefix="0" xfId="0"/>
    <xf numFmtId="0" fontId="8" fillId="0" borderId="1" pivotButton="0" quotePrefix="0" xfId="0"/>
    <xf numFmtId="0" fontId="1" fillId="0" borderId="5" applyAlignment="1" pivotButton="0" quotePrefix="0" xfId="0">
      <alignment vertical="top" wrapText="1"/>
    </xf>
    <xf numFmtId="0" fontId="2" fillId="0" borderId="5" applyAlignment="1" pivotButton="0" quotePrefix="0" xfId="0">
      <alignment vertical="top" wrapText="1"/>
    </xf>
    <xf numFmtId="0" fontId="6" fillId="7" borderId="1" applyAlignment="1" pivotButton="0" quotePrefix="0" xfId="0">
      <alignment vertical="top" wrapText="1"/>
    </xf>
    <xf numFmtId="0" fontId="4" fillId="0" borderId="5" applyAlignment="1" pivotButton="0" quotePrefix="0" xfId="0">
      <alignment vertical="top" wrapText="1"/>
    </xf>
    <xf numFmtId="0" fontId="5" fillId="2" borderId="1" applyAlignment="1" pivotButton="0" quotePrefix="0" xfId="0">
      <alignment horizontal="center" vertical="top" wrapText="1"/>
    </xf>
    <xf numFmtId="0" fontId="6" fillId="6" borderId="1" applyAlignment="1" pivotButton="0" quotePrefix="0" xfId="0">
      <alignment vertical="top" wrapText="1"/>
    </xf>
    <xf numFmtId="0" fontId="4" fillId="0" borderId="1" applyAlignment="1" pivotButton="0" quotePrefix="0" xfId="0">
      <alignment horizontal="center" vertical="top" wrapText="1"/>
    </xf>
    <xf numFmtId="164" fontId="7" fillId="3" borderId="1" applyAlignment="1" pivotButton="0" quotePrefix="0" xfId="0">
      <alignment vertical="top" wrapText="1"/>
    </xf>
    <xf numFmtId="0" fontId="7" fillId="3" borderId="1" applyAlignment="1" pivotButton="0" quotePrefix="0" xfId="0">
      <alignment vertical="top" wrapText="1"/>
    </xf>
    <xf numFmtId="0" fontId="2" fillId="4" borderId="1" applyAlignment="1" pivotButton="0" quotePrefix="0" xfId="0">
      <alignment horizontal="center" vertical="top" wrapText="1"/>
    </xf>
    <xf numFmtId="164" fontId="6" fillId="5" borderId="1" applyAlignment="1" pivotButton="0" quotePrefix="0" xfId="0">
      <alignment vertical="top" wrapText="1"/>
    </xf>
    <xf numFmtId="0" fontId="8" fillId="4" borderId="1" applyAlignment="1" pivotButton="0" quotePrefix="0" xfId="0">
      <alignment vertical="top" wrapText="1"/>
    </xf>
    <xf numFmtId="0" fontId="2" fillId="0" borderId="1" applyAlignment="1" pivotButton="0" quotePrefix="0" xfId="0">
      <alignment vertical="top" wrapText="1"/>
    </xf>
    <xf numFmtId="3" fontId="7" fillId="3" borderId="1" applyAlignment="1" pivotButton="0" quotePrefix="0" xfId="0">
      <alignment vertical="top" wrapText="1"/>
    </xf>
    <xf numFmtId="3" fontId="6" fillId="5" borderId="1" applyAlignment="1" pivotButton="0" quotePrefix="0" xfId="0">
      <alignment vertical="top" wrapText="1"/>
    </xf>
    <xf numFmtId="165" fontId="7" fillId="3" borderId="1" applyAlignment="1" pivotButton="0" quotePrefix="0" xfId="0">
      <alignment vertical="top" wrapText="1"/>
    </xf>
    <xf numFmtId="165" fontId="8" fillId="4" borderId="1" applyAlignment="1" pivotButton="0" quotePrefix="0" xfId="0">
      <alignment vertical="top" wrapText="1"/>
    </xf>
    <xf numFmtId="165" fontId="6" fillId="5" borderId="1" applyAlignment="1" pivotButton="0" quotePrefix="0" xfId="0">
      <alignment vertical="top" wrapText="1"/>
    </xf>
    <xf numFmtId="164" fontId="8" fillId="4" borderId="1" applyAlignment="1" pivotButton="0" quotePrefix="0" xfId="0">
      <alignment vertical="top" wrapText="1"/>
    </xf>
    <xf numFmtId="3" fontId="8" fillId="4" borderId="1" applyAlignment="1" pivotButton="0" quotePrefix="0" xfId="0">
      <alignment vertical="top" wrapText="1"/>
    </xf>
    <xf numFmtId="166" fontId="7" fillId="3" borderId="1" applyAlignment="1" pivotButton="0" quotePrefix="0" xfId="0">
      <alignment vertical="top" wrapText="1"/>
    </xf>
    <xf numFmtId="166" fontId="6" fillId="5" borderId="1" applyAlignment="1" pivotButton="0" quotePrefix="0" xfId="0">
      <alignment vertical="top" wrapText="1"/>
    </xf>
    <xf numFmtId="0" fontId="3" fillId="0" borderId="5" applyAlignment="1" pivotButton="0" quotePrefix="0" xfId="0">
      <alignment vertical="top" wrapText="1"/>
    </xf>
    <xf numFmtId="167" fontId="8" fillId="4" borderId="1" applyAlignment="1" pivotButton="0" quotePrefix="0" xfId="0">
      <alignment vertical="top" wrapText="1"/>
    </xf>
    <xf numFmtId="0" fontId="6" fillId="4" borderId="1" applyAlignment="1" pivotButton="0" quotePrefix="0" xfId="0">
      <alignment horizontal="center" vertical="top" wrapText="1"/>
    </xf>
    <xf numFmtId="168" fontId="8" fillId="4" borderId="1" applyAlignment="1" pivotButton="0" quotePrefix="0" xfId="0">
      <alignment vertical="top" wrapText="1"/>
    </xf>
    <xf numFmtId="3" fontId="8" fillId="4" borderId="1" applyAlignment="1" pivotButton="0" quotePrefix="0" xfId="0">
      <alignment horizontal="center" vertical="top" wrapText="1"/>
    </xf>
    <xf numFmtId="164" fontId="4" fillId="4" borderId="1" applyAlignment="1" pivotButton="0" quotePrefix="0" xfId="0">
      <alignment vertical="top" wrapText="1"/>
    </xf>
    <xf numFmtId="0" fontId="4" fillId="4" borderId="1" applyAlignment="1" pivotButton="0" quotePrefix="0" xfId="0">
      <alignment vertical="top" wrapText="1"/>
    </xf>
    <xf numFmtId="3" fontId="4" fillId="4" borderId="1" applyAlignment="1" pivotButton="0" quotePrefix="0" xfId="0">
      <alignment vertical="top" wrapText="1"/>
    </xf>
    <xf numFmtId="165" fontId="4" fillId="4" borderId="1" applyAlignment="1" pivotButton="0" quotePrefix="0" xfId="0">
      <alignment vertical="top" wrapText="1"/>
    </xf>
    <xf numFmtId="166" fontId="8" fillId="4" borderId="1" applyAlignment="1" pivotButton="0" quotePrefix="0" xfId="0">
      <alignment vertical="top" wrapText="1"/>
    </xf>
    <xf numFmtId="166" fontId="4" fillId="4" borderId="1" applyAlignment="1" pivotButton="0" quotePrefix="0" xfId="0">
      <alignment vertical="top" wrapText="1"/>
    </xf>
    <xf numFmtId="167" fontId="4" fillId="4" borderId="1" applyAlignment="1" pivotButton="0" quotePrefix="0" xfId="0">
      <alignment vertical="top" wrapText="1"/>
    </xf>
    <xf numFmtId="9" fontId="4" fillId="4" borderId="1" applyAlignment="1" pivotButton="0" quotePrefix="0" xfId="0">
      <alignment vertical="top" wrapText="1"/>
    </xf>
    <xf numFmtId="0" fontId="6" fillId="5" borderId="1" applyAlignment="1" pivotButton="0" quotePrefix="0" xfId="0">
      <alignment horizontal="center" vertical="top" wrapText="1"/>
    </xf>
    <xf numFmtId="168" fontId="4" fillId="4" borderId="1" applyAlignment="1" pivotButton="0" quotePrefix="0" xfId="0">
      <alignment vertical="top" wrapText="1"/>
    </xf>
    <xf numFmtId="0" fontId="6" fillId="5" borderId="1" applyAlignment="1" pivotButton="0" quotePrefix="0" xfId="0">
      <alignment vertical="top" wrapText="1"/>
    </xf>
    <xf numFmtId="0" fontId="0" fillId="0" borderId="6" pivotButton="0" quotePrefix="0" xfId="0"/>
    <xf numFmtId="0" fontId="7" fillId="3" borderId="1" applyAlignment="1" pivotButton="0" quotePrefix="0" xfId="0">
      <alignment horizontal="right"/>
    </xf>
    <xf numFmtId="165" fontId="7" fillId="3" borderId="1" applyAlignment="1" pivotButton="0" quotePrefix="0" xfId="0">
      <alignment horizontal="right"/>
    </xf>
    <xf numFmtId="164" fontId="7" fillId="3" borderId="1" applyAlignment="1" pivotButton="0" quotePrefix="0" xfId="0">
      <alignment horizontal="right"/>
    </xf>
    <xf numFmtId="169" fontId="8" fillId="4" borderId="1" applyAlignment="1" pivotButton="0" quotePrefix="0" xfId="0">
      <alignment vertical="top" wrapText="1"/>
    </xf>
    <xf numFmtId="169" fontId="8" fillId="5" borderId="1" applyAlignment="1" pivotButton="0" quotePrefix="0" xfId="0">
      <alignment vertical="top" wrapText="1"/>
    </xf>
    <xf numFmtId="0" fontId="6" fillId="0" borderId="7" applyAlignment="1" pivotButton="0" quotePrefix="0" xfId="0">
      <alignment vertical="top"/>
    </xf>
    <xf numFmtId="164" fontId="6" fillId="4" borderId="7" applyAlignment="1" pivotButton="0" quotePrefix="0" xfId="0">
      <alignment vertical="top" wrapText="1"/>
    </xf>
    <xf numFmtId="164" fontId="6" fillId="5" borderId="7" applyAlignment="1" pivotButton="0" quotePrefix="0" xfId="0">
      <alignment vertical="top" wrapText="1"/>
    </xf>
    <xf numFmtId="169" fontId="6" fillId="4" borderId="7" applyAlignment="1" pivotButton="0" quotePrefix="0" xfId="0">
      <alignment vertical="top" wrapText="1"/>
    </xf>
    <xf numFmtId="167" fontId="4" fillId="4" borderId="7" applyAlignment="1" pivotButton="0" quotePrefix="0" xfId="0">
      <alignment vertical="top" wrapText="1"/>
    </xf>
    <xf numFmtId="0" fontId="4" fillId="0" borderId="1" applyAlignment="1" pivotButton="0" quotePrefix="0" xfId="0">
      <alignment vertical="top" indent="2"/>
    </xf>
    <xf numFmtId="164" fontId="8" fillId="5" borderId="1" applyAlignment="1" pivotButton="0" quotePrefix="0" xfId="0">
      <alignment vertical="top" wrapText="1"/>
    </xf>
    <xf numFmtId="169" fontId="4" fillId="4" borderId="1" applyAlignment="1" pivotButton="0" quotePrefix="0" xfId="0">
      <alignment vertical="top" wrapText="1"/>
    </xf>
    <xf numFmtId="0" fontId="6" fillId="0" borderId="1" applyAlignment="1" pivotButton="0" quotePrefix="0" xfId="0">
      <alignment vertical="top"/>
    </xf>
    <xf numFmtId="164" fontId="6" fillId="4" borderId="1" applyAlignment="1" pivotButton="0" quotePrefix="0" xfId="0">
      <alignment vertical="top" wrapText="1"/>
    </xf>
    <xf numFmtId="169" fontId="6" fillId="4" borderId="1" applyAlignment="1" pivotButton="0" quotePrefix="0" xfId="0">
      <alignment vertical="top" wrapText="1"/>
    </xf>
    <xf numFmtId="0" fontId="6" fillId="8" borderId="7" applyAlignment="1" pivotButton="0" quotePrefix="0" xfId="0">
      <alignment vertical="top"/>
    </xf>
    <xf numFmtId="164" fontId="6" fillId="8" borderId="7" applyAlignment="1" pivotButton="0" quotePrefix="0" xfId="0">
      <alignment vertical="top" wrapText="1"/>
    </xf>
    <xf numFmtId="165" fontId="6" fillId="4" borderId="1" applyAlignment="1" pivotButton="0" quotePrefix="0" xfId="0">
      <alignment vertical="top" wrapText="1"/>
    </xf>
    <xf numFmtId="170" fontId="4" fillId="4" borderId="1" applyAlignment="1" pivotButton="0" quotePrefix="0" xfId="0">
      <alignment vertical="top" wrapText="1"/>
    </xf>
    <xf numFmtId="0" fontId="6" fillId="4" borderId="1" applyAlignment="1" pivotButton="0" quotePrefix="0" xfId="0">
      <alignment horizontal="right"/>
    </xf>
    <xf numFmtId="3" fontId="8" fillId="5" borderId="1" applyAlignment="1" pivotButton="0" quotePrefix="0" xfId="0">
      <alignment vertical="top" wrapText="1"/>
    </xf>
    <xf numFmtId="171" fontId="4" fillId="4" borderId="1" applyAlignment="1" pivotButton="0" quotePrefix="0" xfId="0">
      <alignment vertical="top" wrapText="1"/>
    </xf>
    <xf numFmtId="168" fontId="8" fillId="5" borderId="1" applyAlignment="1" pivotButton="0" quotePrefix="0" xfId="0">
      <alignment vertical="top" wrapText="1"/>
    </xf>
    <xf numFmtId="172" fontId="4" fillId="4" borderId="1" applyAlignment="1" pivotButton="0" quotePrefix="0" xfId="0">
      <alignment vertical="top" wrapText="1"/>
    </xf>
    <xf numFmtId="165" fontId="8" fillId="5" borderId="1" applyAlignment="1" pivotButton="0" quotePrefix="0" xfId="0">
      <alignment vertical="top" wrapText="1"/>
    </xf>
    <xf numFmtId="166" fontId="8" fillId="5" borderId="1" applyAlignment="1" pivotButton="0" quotePrefix="0" xfId="0">
      <alignment vertical="top" wrapText="1"/>
    </xf>
    <xf numFmtId="173" fontId="4" fillId="4" borderId="1" applyAlignment="1" pivotButton="0" quotePrefix="0" xfId="0">
      <alignment vertical="top" wrapText="1"/>
    </xf>
    <xf numFmtId="167" fontId="8" fillId="5" borderId="1" applyAlignment="1" pivotButton="0" quotePrefix="0" xfId="0">
      <alignment vertical="top" wrapText="1"/>
    </xf>
    <xf numFmtId="0" fontId="6" fillId="0" borderId="5" applyAlignment="1" pivotButton="0" quotePrefix="0" xfId="0">
      <alignment vertical="top" wrapText="1"/>
    </xf>
    <xf numFmtId="167" fontId="4" fillId="4" borderId="1" applyAlignment="1" pivotButton="0" quotePrefix="0" xfId="0">
      <alignment horizontal="right" vertical="top"/>
    </xf>
    <xf numFmtId="167" fontId="4" fillId="5" borderId="1" applyAlignment="1" pivotButton="0" quotePrefix="0" xfId="0">
      <alignment horizontal="right" vertical="top"/>
    </xf>
    <xf numFmtId="3" fontId="4" fillId="4" borderId="1" applyAlignment="1" pivotButton="0" quotePrefix="0" xfId="0">
      <alignment horizontal="right" vertical="top"/>
    </xf>
    <xf numFmtId="3" fontId="4" fillId="5" borderId="1" applyAlignment="1" pivotButton="0" quotePrefix="0" xfId="0">
      <alignment horizontal="right" vertical="top"/>
    </xf>
    <xf numFmtId="168" fontId="4" fillId="4" borderId="1" applyAlignment="1" pivotButton="0" quotePrefix="0" xfId="0">
      <alignment horizontal="right" vertical="top"/>
    </xf>
    <xf numFmtId="168" fontId="4" fillId="5" borderId="1" applyAlignment="1" pivotButton="0" quotePrefix="0" xfId="0">
      <alignment horizontal="right" vertical="top"/>
    </xf>
    <xf numFmtId="165" fontId="4" fillId="4" borderId="1" applyAlignment="1" pivotButton="0" quotePrefix="0" xfId="0">
      <alignment horizontal="right" vertical="top"/>
    </xf>
    <xf numFmtId="165" fontId="4" fillId="5" borderId="1" applyAlignment="1" pivotButton="0" quotePrefix="0" xfId="0">
      <alignment horizontal="right" vertical="top"/>
    </xf>
    <xf numFmtId="166" fontId="4" fillId="4" borderId="1" applyAlignment="1" pivotButton="0" quotePrefix="0" xfId="0">
      <alignment horizontal="right" vertical="top"/>
    </xf>
    <xf numFmtId="166" fontId="4" fillId="5" borderId="1" applyAlignment="1" pivotButton="0" quotePrefix="0" xfId="0">
      <alignment horizontal="right" vertical="top"/>
    </xf>
    <xf numFmtId="164" fontId="4" fillId="4" borderId="1" applyAlignment="1" pivotButton="0" quotePrefix="0" xfId="0">
      <alignment horizontal="right" vertical="top"/>
    </xf>
    <xf numFmtId="164" fontId="4" fillId="5" borderId="1" applyAlignment="1" pivotButton="0" quotePrefix="0" xfId="0">
      <alignment horizontal="right" vertical="top"/>
    </xf>
    <xf numFmtId="164" fontId="6" fillId="4" borderId="7" applyAlignment="1" pivotButton="0" quotePrefix="0" xfId="0">
      <alignment horizontal="right" vertical="top"/>
    </xf>
    <xf numFmtId="164" fontId="6" fillId="5" borderId="1" applyAlignment="1" pivotButton="0" quotePrefix="0" xfId="0">
      <alignment horizontal="right" vertical="top"/>
    </xf>
    <xf numFmtId="164" fontId="6" fillId="4" borderId="1" applyAlignment="1" pivotButton="0" quotePrefix="0" xfId="0">
      <alignment horizontal="right" vertical="top"/>
    </xf>
    <xf numFmtId="164" fontId="6" fillId="5" borderId="7" applyAlignment="1" pivotButton="0" quotePrefix="0" xfId="0">
      <alignment horizontal="right" vertical="top"/>
    </xf>
    <xf numFmtId="169" fontId="4" fillId="4" borderId="1" applyAlignment="1" pivotButton="0" quotePrefix="0" xfId="0">
      <alignment horizontal="right"/>
    </xf>
    <xf numFmtId="169" fontId="4" fillId="4" borderId="1" applyAlignment="1" pivotButton="0" quotePrefix="0" xfId="0">
      <alignment horizontal="right" vertical="top"/>
    </xf>
    <xf numFmtId="169" fontId="4" fillId="5" borderId="1" applyAlignment="1" pivotButton="0" quotePrefix="0" xfId="0">
      <alignment horizontal="right" vertical="top"/>
    </xf>
    <xf numFmtId="169" fontId="6" fillId="5" borderId="1" applyAlignment="1" pivotButton="0" quotePrefix="0" xfId="0">
      <alignment horizontal="right"/>
    </xf>
    <xf numFmtId="169" fontId="6" fillId="5" borderId="1" applyAlignment="1" pivotButton="0" quotePrefix="0" xfId="0">
      <alignment horizontal="right" vertical="top"/>
    </xf>
    <xf numFmtId="167" fontId="4" fillId="4" borderId="1" applyAlignment="1" pivotButton="0" quotePrefix="0" xfId="0">
      <alignment horizontal="right"/>
    </xf>
    <xf numFmtId="49" fontId="6" fillId="4" borderId="1" applyAlignment="1" pivotButton="0" quotePrefix="0" xfId="0">
      <alignment horizontal="right"/>
    </xf>
    <xf numFmtId="49" fontId="6" fillId="4" borderId="1" applyAlignment="1" pivotButton="0" quotePrefix="0" xfId="0">
      <alignment horizontal="right" vertical="top" wrapText="1"/>
    </xf>
    <xf numFmtId="49" fontId="6" fillId="5" borderId="1" applyAlignment="1" pivotButton="0" quotePrefix="0" xfId="0">
      <alignment horizontal="right" vertical="top" wrapText="1"/>
    </xf>
    <xf numFmtId="49" fontId="4" fillId="4" borderId="1" applyAlignment="1" pivotButton="0" quotePrefix="0" xfId="0">
      <alignment horizontal="right" vertical="top" wrapText="1"/>
    </xf>
    <xf numFmtId="49" fontId="4" fillId="5" borderId="1" applyAlignment="1" pivotButton="0" quotePrefix="0" xfId="0">
      <alignment horizontal="right" vertical="top" wrapText="1"/>
    </xf>
    <xf numFmtId="164" fontId="4" fillId="4" borderId="1" applyAlignment="1" pivotButton="0" quotePrefix="0" xfId="0">
      <alignment horizontal="right" vertical="top" wrapText="1"/>
    </xf>
    <xf numFmtId="165" fontId="4" fillId="4" borderId="1" applyAlignment="1" pivotButton="0" quotePrefix="0" xfId="0">
      <alignment horizontal="right" vertical="top" wrapText="1"/>
    </xf>
    <xf numFmtId="164" fontId="6" fillId="5" borderId="1" applyAlignment="1" pivotButton="0" quotePrefix="0" xfId="0">
      <alignment horizontal="right" vertical="top" wrapText="1"/>
    </xf>
    <xf numFmtId="167" fontId="6" fillId="5" borderId="1" applyAlignment="1" pivotButton="0" quotePrefix="0" xfId="0">
      <alignment horizontal="right" vertical="top" wrapText="1"/>
    </xf>
    <xf numFmtId="166" fontId="4" fillId="4" borderId="1" applyAlignment="1" pivotButton="0" quotePrefix="0" xfId="0">
      <alignment horizontal="right" vertical="top" wrapText="1"/>
    </xf>
    <xf numFmtId="167" fontId="4" fillId="4" borderId="1" applyAlignment="1" pivotButton="0" quotePrefix="0" xfId="0">
      <alignment horizontal="right" vertical="top" wrapText="1"/>
    </xf>
    <xf numFmtId="49" fontId="4" fillId="4" borderId="1" applyAlignment="1" pivotButton="0" quotePrefix="0" xfId="0">
      <alignment horizontal="left" vertical="top" wrapText="1"/>
    </xf>
  </cellXfs>
  <cellStyles count="1">
    <cellStyle name="Normal" xfId="0" builtinId="0" hidden="0"/>
  </cellStyles>
  <dxfs count="4">
    <dxf>
      <font>
        <color rgb="00C00000"/>
      </font>
    </dxf>
    <dxf>
      <font>
        <b val="1"/>
        <color rgb="00008000"/>
      </font>
    </dxf>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E47"/>
  <sheetViews>
    <sheetView showGridLines="0" workbookViewId="0">
      <selection activeCell="A1" sqref="A1"/>
    </sheetView>
  </sheetViews>
  <sheetFormatPr baseColWidth="8" defaultRowHeight="15"/>
  <cols>
    <col width="3" customWidth="1" min="1" max="1"/>
    <col width="24" customWidth="1" min="2" max="2"/>
    <col width="40" customWidth="1" min="3" max="3"/>
    <col width="40" customWidth="1" min="4" max="4"/>
    <col width="40" customWidth="1" min="5" max="5"/>
  </cols>
  <sheetData>
    <row r="2" ht="17" customHeight="1">
      <c r="B2" s="1" t="inlineStr">
        <is>
          <t>Commercial Effectiveness Model</t>
        </is>
      </c>
    </row>
    <row r="3" ht="17" customHeight="1">
      <c r="B3" s="2" t="inlineStr">
        <is>
          <t>© 2000–2026 Growth Enablement. All rights reserved.</t>
        </is>
      </c>
    </row>
    <row r="6" ht="17" customHeight="1">
      <c r="B6" s="3" t="inlineStr">
        <is>
          <t>What this model does</t>
        </is>
      </c>
    </row>
    <row r="7" ht="30" customHeight="1">
      <c r="B7" s="4" t="inlineStr">
        <is>
          <t>This model describes how your commercial system works, tests that description against your actual financial results, and then lets you explore what would happen if you changed it.</t>
        </is>
      </c>
    </row>
    <row r="8" ht="43" customHeight="1">
      <c r="B8" s="4" t="inlineStr">
        <is>
          <t>It is built on one discipline: lead with your assumptions. Every number you enter is a claim about your business. The model asks where each claim comes from, checks it against your other numbers, and shows which results rest on validated actuals and which on estimates. If anyone disagrees with a result, you can go straight back to the assumption behind it.</t>
        </is>
      </c>
    </row>
    <row r="10" ht="17" customHeight="1">
      <c r="B10" s="3" t="inlineStr">
        <is>
          <t>How the model sees sales capacity</t>
        </is>
      </c>
    </row>
    <row r="11" ht="30" customHeight="1">
      <c r="B11" s="4" t="inlineStr">
        <is>
          <t>•  Territories are a design choice. You decide how to divide your market and how many territories to fund. A territory without a salesperson still carries an expected yield, so leaving it open has a cost.</t>
        </is>
      </c>
    </row>
    <row r="12" ht="30" customHeight="1">
      <c r="B12" s="4" t="inlineStr">
        <is>
          <t>•  Salespeople are a hiring choice. A salesperson's capacity is not the hours they work. It is how many opportunities they can hold and advance well at the same time, turned over by the length of your sales cycle.</t>
        </is>
      </c>
    </row>
    <row r="13" ht="30" customHeight="1">
      <c r="B13" s="4" t="inlineStr">
        <is>
          <t>•  Revenue = salespeople × opportunities worked at once × (12 ÷ cycle months) × close rate × deal size. Every cost then flows through a pro forma income statement to operating income.</t>
        </is>
      </c>
    </row>
    <row r="15" ht="17" customHeight="1">
      <c r="B15" s="3" t="inlineStr">
        <is>
          <t>How the workbook is organized</t>
        </is>
      </c>
    </row>
    <row r="16" ht="30" customHeight="1">
      <c r="B16" s="4" t="inlineStr">
        <is>
          <t>Each tab has two worksheets. The client view holds only what you enter or choose, and the results. The logic sheet shows every calculation, one per row, with the rule written in words next to the live formula, so anyone can audit how a result was produced.</t>
        </is>
      </c>
    </row>
    <row r="17">
      <c r="B17" s="5" t="inlineStr">
        <is>
          <t>Worksheet</t>
        </is>
      </c>
      <c r="C17" s="5" t="inlineStr">
        <is>
          <t>Who uses it</t>
        </is>
      </c>
      <c r="D17" s="5" t="inlineStr">
        <is>
          <t>What it holds</t>
        </is>
      </c>
      <c r="E17" s="6" t="n"/>
    </row>
    <row r="18" ht="43" customHeight="1">
      <c r="B18" s="7" t="inlineStr">
        <is>
          <t>1) Data Entry</t>
        </is>
      </c>
      <c r="C18" s="8" t="inlineStr">
        <is>
          <t>Client: Finance, Sales Operations, HR</t>
        </is>
      </c>
      <c r="D18" s="8" t="inlineStr">
        <is>
          <t>Four steps, in the order the data is easiest to collect. For each entry: your value and where it came from. Shows the value the model uses and the cross-checks.</t>
        </is>
      </c>
      <c r="E18" s="6" t="n"/>
    </row>
    <row r="19" ht="30" customHeight="1">
      <c r="B19" s="7" t="inlineStr">
        <is>
          <t>1) Data Entry Logic</t>
        </is>
      </c>
      <c r="C19" s="8" t="inlineStr">
        <is>
          <t>Growth Enablement and Finance reviewers</t>
        </is>
      </c>
      <c r="D19" s="8" t="inlineStr">
        <is>
          <t>For each entry: the rule that picks the value used, our estimate and how it is calculated, the default, and the basis. The cross-check calculations.</t>
        </is>
      </c>
      <c r="E19" s="6" t="n"/>
    </row>
    <row r="20" ht="43" customHeight="1">
      <c r="B20" s="7" t="inlineStr">
        <is>
          <t>2) What-If</t>
        </is>
      </c>
      <c r="C20" s="8" t="inlineStr">
        <is>
          <t>Client: leadership</t>
        </is>
      </c>
      <c r="D20" s="8" t="inlineStr">
        <is>
          <t>Choose a scenario and the size of each improvement. Shows the pro forma income statement, the four scenarios side by side, and what it would take to reach a target operating income.</t>
        </is>
      </c>
      <c r="E20" s="6" t="n"/>
    </row>
    <row r="21" ht="30" customHeight="1">
      <c r="B21" s="7" t="inlineStr">
        <is>
          <t>2) What-If Logic</t>
        </is>
      </c>
      <c r="C21" s="8" t="inlineStr">
        <is>
          <t>Growth Enablement and Finance reviewers</t>
        </is>
      </c>
      <c r="D21" s="8" t="inlineStr">
        <is>
          <t>Baseline and the four scenarios, calculated step by step from salesperson capacity to operating income, with a true-up.</t>
        </is>
      </c>
      <c r="E21" s="6" t="n"/>
    </row>
    <row r="23" ht="17" customHeight="1">
      <c r="B23" s="3" t="inlineStr">
        <is>
          <t>How to use it</t>
        </is>
      </c>
    </row>
    <row r="24" ht="30" customHeight="1">
      <c r="B24" s="4" t="inlineStr">
        <is>
          <t>1.  Collect the data (1) Data Entry). Work through the four steps in order; each names who usually owns the data, so the sheet can be forwarded. For each entry, type your value and choose its source:</t>
        </is>
      </c>
    </row>
    <row r="25" ht="17" customHeight="1">
      <c r="B25" s="4" t="inlineStr">
        <is>
          <t xml:space="preserve">      –  Validated by Finance: confirmed by your Finance team from your records.</t>
        </is>
      </c>
    </row>
    <row r="26" ht="17" customHeight="1">
      <c r="B26" s="4" t="inlineStr">
        <is>
          <t xml:space="preserve">      –  Your entry: your best number, not yet validated. Accepted, but labeled.</t>
        </is>
      </c>
    </row>
    <row r="27" ht="17" customHeight="1">
      <c r="B27" s="4" t="inlineStr">
        <is>
          <t xml:space="preserve">      –  Use our estimate: the model calculates it from your other entries (for example, revenue ÷ contracts).</t>
        </is>
      </c>
    </row>
    <row r="28" ht="17" customHeight="1">
      <c r="B28" s="4" t="inlineStr">
        <is>
          <t xml:space="preserve">      –  Left blank: the model uses a default sample value, labeled “Default (sample)”, so it works from day one.</t>
        </is>
      </c>
    </row>
    <row r="29" ht="30" customHeight="1">
      <c r="B29" s="4" t="inlineStr">
        <is>
          <t>2.  Confront the checks. At the bottom of 1) Data Entry, the model compares what your entries imply with what you reported. Each REVIEW is a place where two of your numbers cannot both be true. Revise an entry or explain the gap.</t>
        </is>
      </c>
    </row>
    <row r="30" ht="43" customHeight="1">
      <c r="B30" s="4" t="inlineStr">
        <is>
          <t>3.  Explore scenarios (2) What-If). Four scenarios: close rate, cycle time, deal size, and all three combined. The pro forma income statement is the constraint every scenario must pass through: an improvement only counts if it reaches operating income. Enter a target operating income to see what each lever would have to achieve.</t>
        </is>
      </c>
    </row>
    <row r="31" ht="17" customHeight="1">
      <c r="B31" s="4" t="inlineStr">
        <is>
          <t>4.  Sign off. Until Finance has validated every entry, every result is labeled “Working model: not validated by Finance.”</t>
        </is>
      </c>
    </row>
    <row r="33" ht="17" customHeight="1">
      <c r="B33" s="3" t="inlineStr">
        <is>
          <t>Color legend</t>
        </is>
      </c>
    </row>
    <row r="34">
      <c r="B34" s="9" t="inlineStr">
        <is>
          <t>Yellow</t>
        </is>
      </c>
      <c r="C34" s="10" t="inlineStr">
        <is>
          <t>Enter or choose (client view only)</t>
        </is>
      </c>
    </row>
    <row r="35">
      <c r="B35" s="11" t="inlineStr">
        <is>
          <t>Grey</t>
        </is>
      </c>
      <c r="C35" s="10" t="inlineStr">
        <is>
          <t>Calculated</t>
        </is>
      </c>
    </row>
    <row r="36">
      <c r="B36" s="12" t="inlineStr">
        <is>
          <t>Blue</t>
        </is>
      </c>
      <c r="C36" s="10" t="inlineStr">
        <is>
          <t>Value the model uses, or a key result</t>
        </is>
      </c>
    </row>
    <row r="37">
      <c r="B37" s="13" t="inlineStr">
        <is>
          <t>Green text</t>
        </is>
      </c>
      <c r="C37" s="10" t="inlineStr">
        <is>
          <t>Pulled from another worksheet</t>
        </is>
      </c>
    </row>
    <row r="39" ht="17" customHeight="1">
      <c r="B39" s="3" t="inlineStr">
        <is>
          <t>What this model is not</t>
        </is>
      </c>
    </row>
    <row r="40" ht="17" customHeight="1">
      <c r="B40" s="4" t="inlineStr">
        <is>
          <t>•  Not a forecast. It describes what your system can and does produce under stated assumptions.</t>
        </is>
      </c>
    </row>
    <row r="41" ht="30" customHeight="1">
      <c r="B41" s="4" t="inlineStr">
        <is>
          <t>•  Not an evaluation of individual salespeople. Salespeople are measured as a system, without names, to find improvements in how the system works.</t>
        </is>
      </c>
    </row>
    <row r="42" ht="17" customHeight="1">
      <c r="B42" s="4" t="inlineStr">
        <is>
          <t>•  Not a benchmark ranking. Reference values can inform assumptions, but your baseline is built from your own reality.</t>
        </is>
      </c>
    </row>
    <row r="44" ht="17" customHeight="1">
      <c r="B44" s="3" t="inlineStr">
        <is>
          <t>A few points</t>
        </is>
      </c>
    </row>
    <row r="45" ht="30" customHeight="1">
      <c r="B45" s="4" t="inlineStr">
        <is>
          <t>This is a general model. For a sharper analysis, run it separately for each sales channel and product line, and separate new-customer revenue from revenue from existing customers. The model can be tailored to your business.</t>
        </is>
      </c>
    </row>
    <row r="46" ht="43" customHeight="1">
      <c r="B46" s="4" t="inlineStr">
        <is>
          <t>“Increase leads” is not listed as a business scenario because we consider lead generation to be a more leveraged way to conduct sales prospecting. The number of leads, how to acquire them, and how much you can invest to acquire those leads are all handled in the tactical “drill down” spreadsheets that accompany this model.</t>
        </is>
      </c>
    </row>
    <row r="47" ht="30" customHeight="1">
      <c r="B47" s="2" t="inlineStr">
        <is>
          <t>Scenarios for adding territories, filling open territories and hiring will be added later; ramp time and open territories are collected now so they are ready.</t>
        </is>
      </c>
    </row>
  </sheetData>
  <mergeCells count="34">
    <mergeCell ref="D20:E20"/>
    <mergeCell ref="B40:E40"/>
    <mergeCell ref="D19:E19"/>
    <mergeCell ref="B6:E6"/>
    <mergeCell ref="B30:E30"/>
    <mergeCell ref="B15:E15"/>
    <mergeCell ref="B33:E33"/>
    <mergeCell ref="B24:E24"/>
    <mergeCell ref="D21:E21"/>
    <mergeCell ref="B45:E45"/>
    <mergeCell ref="B26:E26"/>
    <mergeCell ref="B41:E41"/>
    <mergeCell ref="B16:E16"/>
    <mergeCell ref="B7:E7"/>
    <mergeCell ref="B25:E25"/>
    <mergeCell ref="B3:E3"/>
    <mergeCell ref="B47:E47"/>
    <mergeCell ref="D17:E17"/>
    <mergeCell ref="B46:E46"/>
    <mergeCell ref="B31:E31"/>
    <mergeCell ref="B27:E27"/>
    <mergeCell ref="B12:E12"/>
    <mergeCell ref="B39:E39"/>
    <mergeCell ref="B11:E11"/>
    <mergeCell ref="B2:E2"/>
    <mergeCell ref="D18:E18"/>
    <mergeCell ref="B42:E42"/>
    <mergeCell ref="B23:E23"/>
    <mergeCell ref="B8:E8"/>
    <mergeCell ref="B13:E13"/>
    <mergeCell ref="B44:E44"/>
    <mergeCell ref="B29:E29"/>
    <mergeCell ref="B10:E10"/>
    <mergeCell ref="B28:E28"/>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FFC000"/>
    <outlinePr summaryBelow="1" summaryRight="1"/>
    <pageSetUpPr fitToPage="1"/>
  </sheetPr>
  <dimension ref="A1:J80"/>
  <sheetViews>
    <sheetView showGridLines="0" workbookViewId="0">
      <pane xSplit="2" ySplit="11" topLeftCell="C1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46" customWidth="1" min="3" max="3"/>
    <col width="8" customWidth="1" min="4" max="4"/>
    <col width="15" customWidth="1" min="5" max="5"/>
    <col width="20" customWidth="1" min="6" max="6"/>
    <col width="15" customWidth="1" min="7" max="7"/>
    <col width="15" customWidth="1" min="8" max="8"/>
    <col width="24" customWidth="1" min="9" max="9"/>
    <col width="70" customWidth="1" min="10" max="10"/>
  </cols>
  <sheetData>
    <row r="1">
      <c r="A1" s="14" t="inlineStr">
        <is>
          <t>1) Data Entry</t>
        </is>
      </c>
    </row>
    <row r="2">
      <c r="A2" s="15" t="inlineStr">
        <is>
          <t>© 2000–2026 Growth Enablement. All rights reserved.</t>
        </is>
      </c>
    </row>
    <row r="3">
      <c r="A3" s="16">
        <f>v_banner</f>
        <v/>
      </c>
    </row>
    <row r="5" ht="17" customHeight="1">
      <c r="A5" s="17" t="inlineStr">
        <is>
          <t>How to fill this in. Work through the four steps in order. Each step names who usually has the data, so you can forward this sheet to them.</t>
        </is>
      </c>
    </row>
    <row r="6" ht="30" customHeight="1">
      <c r="A6" s="17" t="inlineStr">
        <is>
          <t>For each entry: type the number in “Your value” (yellow) and choose its Source. Validated by Finance = confirmed from your records. Your entry = your best number, not yet validated. Use our estimate = let the model calculate it from your other entries (shown in “Our estimate”).</t>
        </is>
      </c>
    </row>
    <row r="7" ht="17" customHeight="1">
      <c r="A7" s="17" t="inlineStr">
        <is>
          <t>Leave an entry blank and the model uses a default sample value, labeled “Default (sample)”, so it works from day one. “Value used” is what the model actually uses.</t>
        </is>
      </c>
    </row>
    <row r="8" ht="17" customHeight="1">
      <c r="A8" s="17" t="inlineStr">
        <is>
          <t>At the bottom, the checks compare what your numbers imply with what you reported. A REVIEW means two of your numbers cannot both be true: revise one, or explain the gap.</t>
        </is>
      </c>
    </row>
    <row r="11">
      <c r="A11" s="18" t="inlineStr">
        <is>
          <t>#</t>
        </is>
      </c>
      <c r="B11" s="18" t="inlineStr">
        <is>
          <t>Entry</t>
        </is>
      </c>
      <c r="C11" s="18" t="inlineStr">
        <is>
          <t>What to enter and where to find it</t>
        </is>
      </c>
      <c r="D11" s="18" t="inlineStr">
        <is>
          <t>Unit</t>
        </is>
      </c>
      <c r="E11" s="18" t="inlineStr">
        <is>
          <t>Your value</t>
        </is>
      </c>
      <c r="F11" s="18" t="inlineStr">
        <is>
          <t>Source</t>
        </is>
      </c>
      <c r="G11" s="18" t="inlineStr">
        <is>
          <t>Our estimate</t>
        </is>
      </c>
      <c r="H11" s="18" t="inlineStr">
        <is>
          <t>Value used</t>
        </is>
      </c>
      <c r="I11" s="18" t="inlineStr">
        <is>
          <t>Basis</t>
        </is>
      </c>
      <c r="J11" s="18" t="inlineStr">
        <is>
          <t>Why it matters (original)</t>
        </is>
      </c>
    </row>
    <row r="12">
      <c r="A12" s="19" t="inlineStr">
        <is>
          <t>Step 1.  Financial results   ·   Ask: Finance   ·   Income statement for the 12-month period in scope.</t>
        </is>
      </c>
    </row>
    <row r="13" ht="30" customHeight="1">
      <c r="A13" s="20" t="inlineStr">
        <is>
          <t>1.1</t>
        </is>
      </c>
      <c r="B13" s="8" t="inlineStr">
        <is>
          <t>Revenue</t>
        </is>
      </c>
      <c r="C13" s="8" t="inlineStr">
        <is>
          <t>Revenue for the period and scope (income statement).</t>
        </is>
      </c>
      <c r="D13" s="20" t="inlineStr">
        <is>
          <t>$</t>
        </is>
      </c>
      <c r="E13" s="21" t="n"/>
      <c r="F13" s="22" t="n"/>
      <c r="G13" s="23" t="inlineStr">
        <is>
          <t>—</t>
        </is>
      </c>
      <c r="H13" s="24">
        <f>v_revenue</f>
        <v/>
      </c>
      <c r="I13" s="25">
        <f>'1) Data Entry Logic'!J8</f>
        <v/>
      </c>
      <c r="J13" s="26" t="inlineStr"/>
    </row>
    <row r="14" ht="30" customHeight="1">
      <c r="A14" s="20" t="inlineStr">
        <is>
          <t>1.2</t>
        </is>
      </c>
      <c r="B14" s="8" t="inlineStr">
        <is>
          <t>Contracts closed</t>
        </is>
      </c>
      <c r="C14" s="8" t="inlineStr">
        <is>
          <t>Executed agreements in the period that produced that revenue.</t>
        </is>
      </c>
      <c r="D14" s="20" t="inlineStr">
        <is>
          <t>count</t>
        </is>
      </c>
      <c r="E14" s="27" t="n"/>
      <c r="F14" s="22" t="n"/>
      <c r="G14" s="23" t="inlineStr">
        <is>
          <t>—</t>
        </is>
      </c>
      <c r="H14" s="28">
        <f>v_contracts</f>
        <v/>
      </c>
      <c r="I14" s="25">
        <f>'1) Data Entry Logic'!J9</f>
        <v/>
      </c>
      <c r="J14" s="26" t="inlineStr"/>
    </row>
    <row r="15" ht="30" customHeight="1">
      <c r="A15" s="20" t="inlineStr">
        <is>
          <t>1.3</t>
        </is>
      </c>
      <c r="B15" s="8" t="inlineStr">
        <is>
          <t>Cost of revenue ($), optional</t>
        </is>
      </c>
      <c r="C15" s="8" t="inlineStr">
        <is>
          <t>Direct cost of delivering that revenue. Lets us estimate the % below.</t>
        </is>
      </c>
      <c r="D15" s="20" t="inlineStr">
        <is>
          <t>$</t>
        </is>
      </c>
      <c r="E15" s="21" t="n"/>
      <c r="F15" s="22" t="n"/>
      <c r="G15" s="23" t="inlineStr">
        <is>
          <t>—</t>
        </is>
      </c>
      <c r="H15" s="24">
        <f>v_cost_of_revenue_amt</f>
        <v/>
      </c>
      <c r="I15" s="25">
        <f>'1) Data Entry Logic'!J10</f>
        <v/>
      </c>
      <c r="J15" s="26" t="inlineStr"/>
    </row>
    <row r="16" ht="17" customHeight="1">
      <c r="A16" s="20" t="inlineStr">
        <is>
          <t>1.4</t>
        </is>
      </c>
      <c r="B16" s="8" t="inlineStr">
        <is>
          <t>Cost of revenue, % of revenue</t>
        </is>
      </c>
      <c r="C16" s="8" t="inlineStr">
        <is>
          <t>Cost of revenue ÷ revenue.</t>
        </is>
      </c>
      <c r="D16" s="20" t="inlineStr">
        <is>
          <t>%</t>
        </is>
      </c>
      <c r="E16" s="29" t="n"/>
      <c r="F16" s="22" t="n"/>
      <c r="G16" s="30">
        <f>'1) Data Entry Logic'!E11</f>
        <v/>
      </c>
      <c r="H16" s="31">
        <f>v_cost_of_revenue_pct</f>
        <v/>
      </c>
      <c r="I16" s="25">
        <f>'1) Data Entry Logic'!J11</f>
        <v/>
      </c>
      <c r="J16" s="26" t="inlineStr"/>
    </row>
    <row r="17" ht="17" customHeight="1">
      <c r="A17" s="20" t="inlineStr">
        <is>
          <t>1.5</t>
        </is>
      </c>
      <c r="B17" s="8" t="inlineStr">
        <is>
          <t>Research and development ($), optional</t>
        </is>
      </c>
      <c r="C17" s="8" t="inlineStr">
        <is>
          <t>R&amp;D expense for the period.</t>
        </is>
      </c>
      <c r="D17" s="20" t="inlineStr">
        <is>
          <t>$</t>
        </is>
      </c>
      <c r="E17" s="21" t="n"/>
      <c r="F17" s="22" t="n"/>
      <c r="G17" s="23" t="inlineStr">
        <is>
          <t>—</t>
        </is>
      </c>
      <c r="H17" s="24">
        <f>v_rnd_amt</f>
        <v/>
      </c>
      <c r="I17" s="25">
        <f>'1) Data Entry Logic'!J12</f>
        <v/>
      </c>
      <c r="J17" s="26" t="inlineStr"/>
    </row>
    <row r="18" ht="17" customHeight="1">
      <c r="A18" s="20" t="inlineStr">
        <is>
          <t>1.6</t>
        </is>
      </c>
      <c r="B18" s="8" t="inlineStr">
        <is>
          <t>R&amp;D, % of revenue</t>
        </is>
      </c>
      <c r="C18" s="8" t="inlineStr">
        <is>
          <t>R&amp;D ÷ revenue.</t>
        </is>
      </c>
      <c r="D18" s="20" t="inlineStr">
        <is>
          <t>%</t>
        </is>
      </c>
      <c r="E18" s="29" t="n"/>
      <c r="F18" s="22" t="n"/>
      <c r="G18" s="30">
        <f>'1) Data Entry Logic'!E13</f>
        <v/>
      </c>
      <c r="H18" s="31">
        <f>v_rnd_pct</f>
        <v/>
      </c>
      <c r="I18" s="25">
        <f>'1) Data Entry Logic'!J13</f>
        <v/>
      </c>
      <c r="J18" s="26" t="inlineStr"/>
    </row>
    <row r="19" ht="17" customHeight="1">
      <c r="A19" s="20" t="inlineStr">
        <is>
          <t>1.7</t>
        </is>
      </c>
      <c r="B19" s="8" t="inlineStr">
        <is>
          <t>General and administrative ($), optional</t>
        </is>
      </c>
      <c r="C19" s="8" t="inlineStr">
        <is>
          <t>G&amp;A expense for the period.</t>
        </is>
      </c>
      <c r="D19" s="20" t="inlineStr">
        <is>
          <t>$</t>
        </is>
      </c>
      <c r="E19" s="21" t="n"/>
      <c r="F19" s="22" t="n"/>
      <c r="G19" s="23" t="inlineStr">
        <is>
          <t>—</t>
        </is>
      </c>
      <c r="H19" s="24">
        <f>v_gna_amt</f>
        <v/>
      </c>
      <c r="I19" s="25">
        <f>'1) Data Entry Logic'!J14</f>
        <v/>
      </c>
      <c r="J19" s="26" t="inlineStr"/>
    </row>
    <row r="20" ht="17" customHeight="1">
      <c r="A20" s="20" t="inlineStr">
        <is>
          <t>1.8</t>
        </is>
      </c>
      <c r="B20" s="8" t="inlineStr">
        <is>
          <t>G&amp;A, % of revenue</t>
        </is>
      </c>
      <c r="C20" s="8" t="inlineStr">
        <is>
          <t>G&amp;A ÷ revenue.</t>
        </is>
      </c>
      <c r="D20" s="20" t="inlineStr">
        <is>
          <t>%</t>
        </is>
      </c>
      <c r="E20" s="29" t="n"/>
      <c r="F20" s="22" t="n"/>
      <c r="G20" s="30">
        <f>'1) Data Entry Logic'!E15</f>
        <v/>
      </c>
      <c r="H20" s="31">
        <f>v_gna_pct</f>
        <v/>
      </c>
      <c r="I20" s="25">
        <f>'1) Data Entry Logic'!J15</f>
        <v/>
      </c>
      <c r="J20" s="26" t="inlineStr"/>
    </row>
    <row r="21">
      <c r="A21" s="19" t="inlineStr">
        <is>
          <t>Step 2.  Sales and marketing costs   ·   Ask: Finance   ·   General ledger detail for sales and marketing cost centers; payroll; expense reports.</t>
        </is>
      </c>
    </row>
    <row r="22" ht="30" customHeight="1">
      <c r="A22" s="20" t="inlineStr">
        <is>
          <t>2.1</t>
        </is>
      </c>
      <c r="B22" s="8" t="inlineStr">
        <is>
          <t>Average base salary per salesperson</t>
        </is>
      </c>
      <c r="C22" s="8" t="inlineStr">
        <is>
          <t>Quota-carrying salespeople only; excludes managers, sales engineers and executives (payroll).</t>
        </is>
      </c>
      <c r="D22" s="20" t="inlineStr">
        <is>
          <t>$</t>
        </is>
      </c>
      <c r="E22" s="21" t="n"/>
      <c r="F22" s="22" t="n"/>
      <c r="G22" s="23" t="inlineStr">
        <is>
          <t>—</t>
        </is>
      </c>
      <c r="H22" s="24">
        <f>v_base_salary</f>
        <v/>
      </c>
      <c r="I22" s="25">
        <f>'1) Data Entry Logic'!J16</f>
        <v/>
      </c>
      <c r="J22" s="26" t="inlineStr"/>
    </row>
    <row r="23" ht="17" customHeight="1">
      <c r="A23" s="20" t="inlineStr">
        <is>
          <t>2.2</t>
        </is>
      </c>
      <c r="B23" s="8" t="inlineStr">
        <is>
          <t>Benefits and payroll tax load</t>
        </is>
      </c>
      <c r="C23" s="8" t="inlineStr">
        <is>
          <t>Benefits and payroll taxes ÷ base salary.</t>
        </is>
      </c>
      <c r="D23" s="20" t="inlineStr">
        <is>
          <t>%</t>
        </is>
      </c>
      <c r="E23" s="29" t="n"/>
      <c r="F23" s="22" t="n"/>
      <c r="G23" s="23" t="inlineStr">
        <is>
          <t>—</t>
        </is>
      </c>
      <c r="H23" s="31">
        <f>v_load_rate</f>
        <v/>
      </c>
      <c r="I23" s="25">
        <f>'1) Data Entry Logic'!J17</f>
        <v/>
      </c>
      <c r="J23" s="26" t="inlineStr"/>
    </row>
    <row r="24" ht="73" customHeight="1">
      <c r="A24" s="20" t="inlineStr">
        <is>
          <t>2.3</t>
        </is>
      </c>
      <c r="B24" s="7" t="inlineStr">
        <is>
          <t>Fully loaded salary per salesperson</t>
        </is>
      </c>
      <c r="C24" s="8" t="inlineStr">
        <is>
          <t>Base salary plus benefits and payroll taxes.</t>
        </is>
      </c>
      <c r="D24" s="20" t="inlineStr">
        <is>
          <t>$</t>
        </is>
      </c>
      <c r="E24" s="21" t="n"/>
      <c r="F24" s="22" t="n"/>
      <c r="G24" s="32">
        <f>'1) Data Entry Logic'!E18</f>
        <v/>
      </c>
      <c r="H24" s="24">
        <f>v_loaded_salary</f>
        <v/>
      </c>
      <c r="I24" s="25">
        <f>'1) Data Entry Logic'!J18</f>
        <v/>
      </c>
      <c r="J24" s="26" t="inlineStr">
        <is>
          <t>To help develop the most effective market development effort, we must better understand our cost of sales and what drives them. Right now we are focusing on the salaries of the sales team only. Do not count salaries of non-quota carrying managers, sales engineers, or other executives. Your CFO should know what your benefits load rate is. This metric assumes a fully loaded resource (insurance, 401K, FICA, allocation of overhead, etc).</t>
        </is>
      </c>
    </row>
    <row r="25" ht="17" customHeight="1">
      <c r="A25" s="20" t="inlineStr">
        <is>
          <t>2.4</t>
        </is>
      </c>
      <c r="B25" s="8" t="inlineStr">
        <is>
          <t>Travel per trip: air, train, mileage</t>
        </is>
      </c>
      <c r="C25" s="8" t="inlineStr">
        <is>
          <t>Round trip, one salesperson.</t>
        </is>
      </c>
      <c r="D25" s="20" t="inlineStr">
        <is>
          <t>$</t>
        </is>
      </c>
      <c r="E25" s="21" t="n"/>
      <c r="F25" s="22" t="n"/>
      <c r="G25" s="23" t="inlineStr">
        <is>
          <t>—</t>
        </is>
      </c>
      <c r="H25" s="24">
        <f>v_trip_fare</f>
        <v/>
      </c>
      <c r="I25" s="25">
        <f>'1) Data Entry Logic'!J19</f>
        <v/>
      </c>
      <c r="J25" s="26" t="inlineStr"/>
    </row>
    <row r="26" ht="17" customHeight="1">
      <c r="A26" s="20" t="inlineStr">
        <is>
          <t>2.5</t>
        </is>
      </c>
      <c r="B26" s="8" t="inlineStr">
        <is>
          <t>Travel per trip: cabs, tolls, rental</t>
        </is>
      </c>
      <c r="C26" s="8" t="inlineStr">
        <is>
          <t>Per trip.</t>
        </is>
      </c>
      <c r="D26" s="20" t="inlineStr">
        <is>
          <t>$</t>
        </is>
      </c>
      <c r="E26" s="21" t="n"/>
      <c r="F26" s="22" t="n"/>
      <c r="G26" s="23" t="inlineStr">
        <is>
          <t>—</t>
        </is>
      </c>
      <c r="H26" s="24">
        <f>v_trip_ground</f>
        <v/>
      </c>
      <c r="I26" s="25">
        <f>'1) Data Entry Logic'!J20</f>
        <v/>
      </c>
      <c r="J26" s="26" t="inlineStr"/>
    </row>
    <row r="27" ht="17" customHeight="1">
      <c r="A27" s="20" t="inlineStr">
        <is>
          <t>2.6</t>
        </is>
      </c>
      <c r="B27" s="8" t="inlineStr">
        <is>
          <t>Meals per day</t>
        </is>
      </c>
      <c r="C27" s="8" t="inlineStr">
        <is>
          <t>Breakfast, lunch, dinner.</t>
        </is>
      </c>
      <c r="D27" s="20" t="inlineStr">
        <is>
          <t>$</t>
        </is>
      </c>
      <c r="E27" s="21" t="n"/>
      <c r="F27" s="22" t="n"/>
      <c r="G27" s="23" t="inlineStr">
        <is>
          <t>—</t>
        </is>
      </c>
      <c r="H27" s="24">
        <f>v_trip_meals</f>
        <v/>
      </c>
      <c r="I27" s="25">
        <f>'1) Data Entry Logic'!J21</f>
        <v/>
      </c>
      <c r="J27" s="26" t="inlineStr"/>
    </row>
    <row r="28" ht="17" customHeight="1">
      <c r="A28" s="20" t="inlineStr">
        <is>
          <t>2.7</t>
        </is>
      </c>
      <c r="B28" s="8" t="inlineStr">
        <is>
          <t>Lodging per night</t>
        </is>
      </c>
      <c r="C28" s="8" t="inlineStr">
        <is>
          <t>Average room cost.</t>
        </is>
      </c>
      <c r="D28" s="20" t="inlineStr">
        <is>
          <t>$</t>
        </is>
      </c>
      <c r="E28" s="21" t="n"/>
      <c r="F28" s="22" t="n"/>
      <c r="G28" s="23" t="inlineStr">
        <is>
          <t>—</t>
        </is>
      </c>
      <c r="H28" s="24">
        <f>v_trip_lodging</f>
        <v/>
      </c>
      <c r="I28" s="25">
        <f>'1) Data Entry Logic'!J22</f>
        <v/>
      </c>
      <c r="J28" s="26" t="inlineStr"/>
    </row>
    <row r="29" ht="17" customHeight="1">
      <c r="A29" s="20" t="inlineStr">
        <is>
          <t>2.8</t>
        </is>
      </c>
      <c r="B29" s="8" t="inlineStr">
        <is>
          <t>Days per trip</t>
        </is>
      </c>
      <c r="C29" s="8" t="inlineStr">
        <is>
          <t>Days away per trip.</t>
        </is>
      </c>
      <c r="D29" s="20" t="inlineStr">
        <is>
          <t>count</t>
        </is>
      </c>
      <c r="E29" s="27" t="n"/>
      <c r="F29" s="22" t="n"/>
      <c r="G29" s="23" t="inlineStr">
        <is>
          <t>—</t>
        </is>
      </c>
      <c r="H29" s="28">
        <f>v_trip_days</f>
        <v/>
      </c>
      <c r="I29" s="25">
        <f>'1) Data Entry Logic'!J23</f>
        <v/>
      </c>
      <c r="J29" s="26" t="inlineStr"/>
    </row>
    <row r="30" ht="17" customHeight="1">
      <c r="A30" s="20" t="inlineStr">
        <is>
          <t>2.9</t>
        </is>
      </c>
      <c r="B30" s="8" t="inlineStr">
        <is>
          <t>Entertainment per trip</t>
        </is>
      </c>
      <c r="C30" s="8" t="inlineStr">
        <is>
          <t>Client meals and events per trip.</t>
        </is>
      </c>
      <c r="D30" s="20" t="inlineStr">
        <is>
          <t>$</t>
        </is>
      </c>
      <c r="E30" s="21" t="n"/>
      <c r="F30" s="22" t="n"/>
      <c r="G30" s="23" t="inlineStr">
        <is>
          <t>—</t>
        </is>
      </c>
      <c r="H30" s="24">
        <f>v_trip_entertainment</f>
        <v/>
      </c>
      <c r="I30" s="25">
        <f>'1) Data Entry Logic'!J24</f>
        <v/>
      </c>
      <c r="J30" s="26" t="inlineStr"/>
    </row>
    <row r="31" ht="17" customHeight="1">
      <c r="A31" s="20" t="inlineStr">
        <is>
          <t>2.10</t>
        </is>
      </c>
      <c r="B31" s="8" t="inlineStr">
        <is>
          <t>Trips per year</t>
        </is>
      </c>
      <c r="C31" s="8" t="inlineStr">
        <is>
          <t>Sales trips per salesperson per year.</t>
        </is>
      </c>
      <c r="D31" s="20" t="inlineStr">
        <is>
          <t>count</t>
        </is>
      </c>
      <c r="E31" s="27" t="n"/>
      <c r="F31" s="22" t="n"/>
      <c r="G31" s="23" t="inlineStr">
        <is>
          <t>—</t>
        </is>
      </c>
      <c r="H31" s="28">
        <f>v_trips_per_year</f>
        <v/>
      </c>
      <c r="I31" s="25">
        <f>'1) Data Entry Logic'!J25</f>
        <v/>
      </c>
      <c r="J31" s="26" t="inlineStr"/>
    </row>
    <row r="32" ht="107.5" customHeight="1">
      <c r="A32" s="20" t="inlineStr">
        <is>
          <t>2.11</t>
        </is>
      </c>
      <c r="B32" s="7" t="inlineStr">
        <is>
          <t>Travel cost per salesperson</t>
        </is>
      </c>
      <c r="C32" s="8" t="inlineStr">
        <is>
          <t>Best: travel and entertainment ledger for quota salespeople ÷ salespeople. Otherwise use the trip build-up above.</t>
        </is>
      </c>
      <c r="D32" s="20" t="inlineStr">
        <is>
          <t>$</t>
        </is>
      </c>
      <c r="E32" s="21" t="n"/>
      <c r="F32" s="22" t="n"/>
      <c r="G32" s="32">
        <f>'1) Data Entry Logic'!E26</f>
        <v/>
      </c>
      <c r="H32" s="24">
        <f>v_travel_per_salesperson</f>
        <v/>
      </c>
      <c r="I32" s="25">
        <f>'1) Data Entry Logic'!J26</f>
        <v/>
      </c>
      <c r="J32" s="26" t="inlineStr">
        <is>
          <t>Most CFO's track overall travel expenses and try to reduce costs by limiting per diems, hotel expenses, etc. However, the real driver is a sales call. Sales people only incur these travel costs on the road. The best way to reduce travel costs is to get a better return out of each sales trip. Oftentimes, sales people will go on multiple client site visits to gain information easily gathered over the phone, or to have meetings with buyers who lack the right marketing materials to decide to buy your solution. Below are the elements of a sales trip. Estimate the costs assumed for each sales trip. Again, only assume the cost of a single sales person. Sales engineers and other costs are too complex for simple analysis.</t>
        </is>
      </c>
    </row>
    <row r="33" ht="30" customHeight="1">
      <c r="A33" s="20" t="inlineStr">
        <is>
          <t>2.12</t>
        </is>
      </c>
      <c r="B33" s="8" t="inlineStr">
        <is>
          <t>Commissions paid ($), optional</t>
        </is>
      </c>
      <c r="C33" s="8" t="inlineStr">
        <is>
          <t>Commission expense for quota salespeople in the period.</t>
        </is>
      </c>
      <c r="D33" s="20" t="inlineStr">
        <is>
          <t>$</t>
        </is>
      </c>
      <c r="E33" s="21" t="n"/>
      <c r="F33" s="22" t="n"/>
      <c r="G33" s="23" t="inlineStr">
        <is>
          <t>—</t>
        </is>
      </c>
      <c r="H33" s="24">
        <f>v_commissions_paid</f>
        <v/>
      </c>
      <c r="I33" s="25">
        <f>'1) Data Entry Logic'!J27</f>
        <v/>
      </c>
      <c r="J33" s="26" t="inlineStr"/>
    </row>
    <row r="34" ht="50" customHeight="1">
      <c r="A34" s="20" t="inlineStr">
        <is>
          <t>2.13</t>
        </is>
      </c>
      <c r="B34" s="8" t="inlineStr">
        <is>
          <t>Commission rate</t>
        </is>
      </c>
      <c r="C34" s="8" t="inlineStr">
        <is>
          <t>Commission as a share of revenue (compensation plan).</t>
        </is>
      </c>
      <c r="D34" s="20" t="inlineStr">
        <is>
          <t>%</t>
        </is>
      </c>
      <c r="E34" s="29" t="n"/>
      <c r="F34" s="22" t="n"/>
      <c r="G34" s="30">
        <f>'1) Data Entry Logic'!E28</f>
        <v/>
      </c>
      <c r="H34" s="31">
        <f>v_commission_rate</f>
        <v/>
      </c>
      <c r="I34" s="25">
        <f>'1) Data Entry Logic'!J28</f>
        <v/>
      </c>
      <c r="J34" s="26" t="inlineStr">
        <is>
          <t>Commissions are the most logical and well understood driver of variable sales costs. Simply enter your sales forces average commission. Again, for simple analysis - just use an average. This model can be modified to accommodate your whole compensation plan.</t>
        </is>
      </c>
    </row>
    <row r="35" ht="17" customHeight="1">
      <c r="A35" s="20" t="inlineStr">
        <is>
          <t>2.14</t>
        </is>
      </c>
      <c r="B35" s="8" t="inlineStr">
        <is>
          <t>Non-quota sales manager salaries</t>
        </is>
      </c>
      <c r="C35" s="8" t="inlineStr">
        <is>
          <t>Managers who carry no quota.</t>
        </is>
      </c>
      <c r="D35" s="20" t="inlineStr">
        <is>
          <t>$</t>
        </is>
      </c>
      <c r="E35" s="21" t="n"/>
      <c r="F35" s="22" t="n"/>
      <c r="G35" s="23" t="inlineStr">
        <is>
          <t>—</t>
        </is>
      </c>
      <c r="H35" s="24">
        <f>v_oh_managers</f>
        <v/>
      </c>
      <c r="I35" s="25">
        <f>'1) Data Entry Logic'!J29</f>
        <v/>
      </c>
      <c r="J35" s="26" t="inlineStr"/>
    </row>
    <row r="36" ht="17" customHeight="1">
      <c r="A36" s="20" t="inlineStr">
        <is>
          <t>2.15</t>
        </is>
      </c>
      <c r="B36" s="8" t="inlineStr">
        <is>
          <t>Sales engineers and other non-quota support</t>
        </is>
      </c>
      <c r="C36" s="8" t="inlineStr">
        <is>
          <t>Pre-sales and support roles.</t>
        </is>
      </c>
      <c r="D36" s="20" t="inlineStr">
        <is>
          <t>$</t>
        </is>
      </c>
      <c r="E36" s="21" t="n"/>
      <c r="F36" s="22" t="n"/>
      <c r="G36" s="23" t="inlineStr">
        <is>
          <t>—</t>
        </is>
      </c>
      <c r="H36" s="24">
        <f>v_oh_engineers</f>
        <v/>
      </c>
      <c r="I36" s="25">
        <f>'1) Data Entry Logic'!J30</f>
        <v/>
      </c>
      <c r="J36" s="26" t="inlineStr"/>
    </row>
    <row r="37" ht="17" customHeight="1">
      <c r="A37" s="20" t="inlineStr">
        <is>
          <t>2.16</t>
        </is>
      </c>
      <c r="B37" s="8" t="inlineStr">
        <is>
          <t>Sales operations and administration</t>
        </is>
      </c>
      <c r="C37" s="8" t="inlineStr">
        <is>
          <t>Sales ops and admin staff.</t>
        </is>
      </c>
      <c r="D37" s="20" t="inlineStr">
        <is>
          <t>$</t>
        </is>
      </c>
      <c r="E37" s="21" t="n"/>
      <c r="F37" s="22" t="n"/>
      <c r="G37" s="23" t="inlineStr">
        <is>
          <t>—</t>
        </is>
      </c>
      <c r="H37" s="24">
        <f>v_oh_admin</f>
        <v/>
      </c>
      <c r="I37" s="25">
        <f>'1) Data Entry Logic'!J31</f>
        <v/>
      </c>
      <c r="J37" s="26" t="inlineStr"/>
    </row>
    <row r="38" ht="30" customHeight="1">
      <c r="A38" s="20" t="inlineStr">
        <is>
          <t>2.17</t>
        </is>
      </c>
      <c r="B38" s="8" t="inlineStr">
        <is>
          <t>Training</t>
        </is>
      </c>
      <c r="C38" s="8" t="inlineStr">
        <is>
          <t>Training, travel for training, related headcount.</t>
        </is>
      </c>
      <c r="D38" s="20" t="inlineStr">
        <is>
          <t>$</t>
        </is>
      </c>
      <c r="E38" s="21" t="n"/>
      <c r="F38" s="22" t="n"/>
      <c r="G38" s="23" t="inlineStr">
        <is>
          <t>—</t>
        </is>
      </c>
      <c r="H38" s="24">
        <f>v_oh_training</f>
        <v/>
      </c>
      <c r="I38" s="25">
        <f>'1) Data Entry Logic'!J32</f>
        <v/>
      </c>
      <c r="J38" s="26" t="inlineStr"/>
    </row>
    <row r="39" ht="30" customHeight="1">
      <c r="A39" s="20" t="inlineStr">
        <is>
          <t>2.18</t>
        </is>
      </c>
      <c r="B39" s="8" t="inlineStr">
        <is>
          <t>Non-quota incentives</t>
        </is>
      </c>
      <c r="C39" s="8" t="inlineStr">
        <is>
          <t>Contests, recognition trips, non-quota commissions.</t>
        </is>
      </c>
      <c r="D39" s="20" t="inlineStr">
        <is>
          <t>$</t>
        </is>
      </c>
      <c r="E39" s="21" t="n"/>
      <c r="F39" s="22" t="n"/>
      <c r="G39" s="23" t="inlineStr">
        <is>
          <t>—</t>
        </is>
      </c>
      <c r="H39" s="24">
        <f>v_oh_incentives</f>
        <v/>
      </c>
      <c r="I39" s="25">
        <f>'1) Data Entry Logic'!J33</f>
        <v/>
      </c>
      <c r="J39" s="26" t="inlineStr"/>
    </row>
    <row r="40" ht="84.5" customHeight="1">
      <c r="A40" s="20" t="inlineStr">
        <is>
          <t>2.19</t>
        </is>
      </c>
      <c r="B40" s="7" t="inlineStr">
        <is>
          <t>Sales overhead (total)</t>
        </is>
      </c>
      <c r="C40" s="8" t="inlineStr">
        <is>
          <t>Non-variable cost of running the sales organization.</t>
        </is>
      </c>
      <c r="D40" s="20" t="inlineStr">
        <is>
          <t>$</t>
        </is>
      </c>
      <c r="E40" s="21" t="n"/>
      <c r="F40" s="22" t="n"/>
      <c r="G40" s="32">
        <f>'1) Data Entry Logic'!E34</f>
        <v/>
      </c>
      <c r="H40" s="24">
        <f>v_sales_overhead</f>
        <v/>
      </c>
      <c r="I40" s="25">
        <f>'1) Data Entry Logic'!J34</f>
        <v/>
      </c>
      <c r="J40" s="26" t="inlineStr">
        <is>
          <t>Our goal with this exercise is to assess how well your company is is utilizing its sales and marketing assets. To do this, we have to examine all of the associated costs that are related to sales and marketing performance. This will help you put these investments in the right context and determine the effectiveness of these investments.
This tracks all of the non-variable costs associated with running a sales organization, and includes executive salaries, sales support, training, and performance plans.</t>
        </is>
      </c>
    </row>
    <row r="41" ht="17" customHeight="1">
      <c r="A41" s="20" t="inlineStr">
        <is>
          <t>2.20</t>
        </is>
      </c>
      <c r="B41" s="8" t="inlineStr">
        <is>
          <t>Marketing personnel</t>
        </is>
      </c>
      <c r="C41" s="8" t="inlineStr">
        <is>
          <t>All marketing staff.</t>
        </is>
      </c>
      <c r="D41" s="20" t="inlineStr">
        <is>
          <t>$</t>
        </is>
      </c>
      <c r="E41" s="21" t="n"/>
      <c r="F41" s="22" t="n"/>
      <c r="G41" s="23" t="inlineStr">
        <is>
          <t>—</t>
        </is>
      </c>
      <c r="H41" s="24">
        <f>v_mk_people</f>
        <v/>
      </c>
      <c r="I41" s="25">
        <f>'1) Data Entry Logic'!J35</f>
        <v/>
      </c>
      <c r="J41" s="26" t="inlineStr"/>
    </row>
    <row r="42" ht="17" customHeight="1">
      <c r="A42" s="20" t="inlineStr">
        <is>
          <t>2.21</t>
        </is>
      </c>
      <c r="B42" s="8" t="inlineStr">
        <is>
          <t>Website</t>
        </is>
      </c>
      <c r="C42" s="8" t="inlineStr">
        <is>
          <t>Website investment and maintenance.</t>
        </is>
      </c>
      <c r="D42" s="20" t="inlineStr">
        <is>
          <t>$</t>
        </is>
      </c>
      <c r="E42" s="21" t="n"/>
      <c r="F42" s="22" t="n"/>
      <c r="G42" s="23" t="inlineStr">
        <is>
          <t>—</t>
        </is>
      </c>
      <c r="H42" s="24">
        <f>v_mk_web</f>
        <v/>
      </c>
      <c r="I42" s="25">
        <f>'1) Data Entry Logic'!J36</f>
        <v/>
      </c>
      <c r="J42" s="26" t="inlineStr"/>
    </row>
    <row r="43" ht="17" customHeight="1">
      <c r="A43" s="20" t="inlineStr">
        <is>
          <t>2.22</t>
        </is>
      </c>
      <c r="B43" s="8" t="inlineStr">
        <is>
          <t>Events</t>
        </is>
      </c>
      <c r="C43" s="8" t="inlineStr">
        <is>
          <t>Online events and roadshows.</t>
        </is>
      </c>
      <c r="D43" s="20" t="inlineStr">
        <is>
          <t>$</t>
        </is>
      </c>
      <c r="E43" s="21" t="n"/>
      <c r="F43" s="22" t="n"/>
      <c r="G43" s="23" t="inlineStr">
        <is>
          <t>—</t>
        </is>
      </c>
      <c r="H43" s="24">
        <f>v_mk_events</f>
        <v/>
      </c>
      <c r="I43" s="25">
        <f>'1) Data Entry Logic'!J37</f>
        <v/>
      </c>
      <c r="J43" s="26" t="inlineStr"/>
    </row>
    <row r="44" ht="17" customHeight="1">
      <c r="A44" s="20" t="inlineStr">
        <is>
          <t>2.23</t>
        </is>
      </c>
      <c r="B44" s="8" t="inlineStr">
        <is>
          <t>Advertising</t>
        </is>
      </c>
      <c r="C44" s="8" t="inlineStr">
        <is>
          <t>Paid media.</t>
        </is>
      </c>
      <c r="D44" s="20" t="inlineStr">
        <is>
          <t>$</t>
        </is>
      </c>
      <c r="E44" s="21" t="n"/>
      <c r="F44" s="22" t="n"/>
      <c r="G44" s="23" t="inlineStr">
        <is>
          <t>—</t>
        </is>
      </c>
      <c r="H44" s="24">
        <f>v_mk_ads</f>
        <v/>
      </c>
      <c r="I44" s="25">
        <f>'1) Data Entry Logic'!J38</f>
        <v/>
      </c>
      <c r="J44" s="26" t="inlineStr"/>
    </row>
    <row r="45" ht="17" customHeight="1">
      <c r="A45" s="20" t="inlineStr">
        <is>
          <t>2.24</t>
        </is>
      </c>
      <c r="B45" s="8" t="inlineStr">
        <is>
          <t>Direct mail</t>
        </is>
      </c>
      <c r="C45" s="8" t="inlineStr">
        <is>
          <t>Print and online.</t>
        </is>
      </c>
      <c r="D45" s="20" t="inlineStr">
        <is>
          <t>$</t>
        </is>
      </c>
      <c r="E45" s="21" t="n"/>
      <c r="F45" s="22" t="n"/>
      <c r="G45" s="23" t="inlineStr">
        <is>
          <t>—</t>
        </is>
      </c>
      <c r="H45" s="24">
        <f>v_mk_mail</f>
        <v/>
      </c>
      <c r="I45" s="25">
        <f>'1) Data Entry Logic'!J39</f>
        <v/>
      </c>
      <c r="J45" s="26" t="inlineStr"/>
    </row>
    <row r="46" ht="17" customHeight="1">
      <c r="A46" s="20" t="inlineStr">
        <is>
          <t>2.25</t>
        </is>
      </c>
      <c r="B46" s="8" t="inlineStr">
        <is>
          <t>Lead generation programs</t>
        </is>
      </c>
      <c r="C46" s="8" t="inlineStr">
        <is>
          <t>Telemarketing and other lead generation.</t>
        </is>
      </c>
      <c r="D46" s="20" t="inlineStr">
        <is>
          <t>$</t>
        </is>
      </c>
      <c r="E46" s="21" t="n"/>
      <c r="F46" s="22" t="n"/>
      <c r="G46" s="23" t="inlineStr">
        <is>
          <t>—</t>
        </is>
      </c>
      <c r="H46" s="24">
        <f>v_mk_leadgen</f>
        <v/>
      </c>
      <c r="I46" s="25">
        <f>'1) Data Entry Logic'!J40</f>
        <v/>
      </c>
      <c r="J46" s="26" t="inlineStr"/>
    </row>
    <row r="47" ht="17" customHeight="1">
      <c r="A47" s="20" t="inlineStr">
        <is>
          <t>2.26</t>
        </is>
      </c>
      <c r="B47" s="8" t="inlineStr">
        <is>
          <t>Branding and public relations</t>
        </is>
      </c>
      <c r="C47" s="8" t="inlineStr">
        <is>
          <t>Identity, PR, consulting.</t>
        </is>
      </c>
      <c r="D47" s="20" t="inlineStr">
        <is>
          <t>$</t>
        </is>
      </c>
      <c r="E47" s="21" t="n"/>
      <c r="F47" s="22" t="n"/>
      <c r="G47" s="23" t="inlineStr">
        <is>
          <t>—</t>
        </is>
      </c>
      <c r="H47" s="24">
        <f>v_mk_brand</f>
        <v/>
      </c>
      <c r="I47" s="25">
        <f>'1) Data Entry Logic'!J41</f>
        <v/>
      </c>
      <c r="J47" s="26" t="inlineStr"/>
    </row>
    <row r="48" ht="17" customHeight="1">
      <c r="A48" s="20" t="inlineStr">
        <is>
          <t>2.27</t>
        </is>
      </c>
      <c r="B48" s="8" t="inlineStr">
        <is>
          <t>Collateral</t>
        </is>
      </c>
      <c r="C48" s="8" t="inlineStr">
        <is>
          <t>Sales tools, white papers, brochures, printing.</t>
        </is>
      </c>
      <c r="D48" s="20" t="inlineStr">
        <is>
          <t>$</t>
        </is>
      </c>
      <c r="E48" s="21" t="n"/>
      <c r="F48" s="22" t="n"/>
      <c r="G48" s="23" t="inlineStr">
        <is>
          <t>—</t>
        </is>
      </c>
      <c r="H48" s="24">
        <f>v_mk_collateral</f>
        <v/>
      </c>
      <c r="I48" s="25">
        <f>'1) Data Entry Logic'!J42</f>
        <v/>
      </c>
      <c r="J48" s="26" t="inlineStr"/>
    </row>
    <row r="49" ht="50" customHeight="1">
      <c r="A49" s="20" t="inlineStr">
        <is>
          <t>2.28</t>
        </is>
      </c>
      <c r="B49" s="7" t="inlineStr">
        <is>
          <t>Marketing (total)</t>
        </is>
      </c>
      <c r="C49" s="8" t="inlineStr">
        <is>
          <t>Investment the company makes to help drive revenue.</t>
        </is>
      </c>
      <c r="D49" s="20" t="inlineStr">
        <is>
          <t>$</t>
        </is>
      </c>
      <c r="E49" s="21" t="n"/>
      <c r="F49" s="22" t="n"/>
      <c r="G49" s="32">
        <f>'1) Data Entry Logic'!E43</f>
        <v/>
      </c>
      <c r="H49" s="24">
        <f>v_marketing</f>
        <v/>
      </c>
      <c r="I49" s="25">
        <f>'1) Data Entry Logic'!J43</f>
        <v/>
      </c>
      <c r="J49" s="26" t="inlineStr">
        <is>
          <t>This tracks all of the overall investments the company makes to help drive revenue. Marketing resources are extremely important to consider because in most organizations the sales and marketing departments are not coordinated and this results in tremendous waste.</t>
        </is>
      </c>
    </row>
    <row r="50">
      <c r="A50" s="19" t="inlineStr">
        <is>
          <t>Step 3.  Territories and salespeople   ·   Ask: Sales Operations and HR   ·   Territory plan and the roster of quota-carrying salespeople.</t>
        </is>
      </c>
    </row>
    <row r="51" ht="43" customHeight="1">
      <c r="A51" s="20" t="inlineStr">
        <is>
          <t>3.1</t>
        </is>
      </c>
      <c r="B51" s="8" t="inlineStr">
        <is>
          <t>Funded territories</t>
        </is>
      </c>
      <c r="C51" s="8" t="inlineStr">
        <is>
          <t>Territories the company has decided to fund, filled or open. A territory is a design choice, not a person.</t>
        </is>
      </c>
      <c r="D51" s="20" t="inlineStr">
        <is>
          <t>count</t>
        </is>
      </c>
      <c r="E51" s="27" t="n"/>
      <c r="F51" s="22" t="n"/>
      <c r="G51" s="23" t="inlineStr">
        <is>
          <t>—</t>
        </is>
      </c>
      <c r="H51" s="28">
        <f>v_territory_count</f>
        <v/>
      </c>
      <c r="I51" s="25">
        <f>'1) Data Entry Logic'!J44</f>
        <v/>
      </c>
      <c r="J51" s="26" t="inlineStr">
        <is>
          <t>Enter the number of open sales territories you had last year. This is not based on individual people, so if someone has left the company, but the territory is still open, count that as a sales territory.</t>
        </is>
      </c>
    </row>
    <row r="52" ht="17" customHeight="1">
      <c r="A52" s="20" t="inlineStr">
        <is>
          <t>3.2</t>
        </is>
      </c>
      <c r="B52" s="8" t="inlineStr">
        <is>
          <t>Open territories at period end</t>
        </is>
      </c>
      <c r="C52" s="8" t="inlineStr">
        <is>
          <t>Funded territories with no salesperson assigned.</t>
        </is>
      </c>
      <c r="D52" s="20" t="inlineStr">
        <is>
          <t>count</t>
        </is>
      </c>
      <c r="E52" s="27" t="n"/>
      <c r="F52" s="22" t="n"/>
      <c r="G52" s="23" t="inlineStr">
        <is>
          <t>—</t>
        </is>
      </c>
      <c r="H52" s="28">
        <f>v_open_territories</f>
        <v/>
      </c>
      <c r="I52" s="25">
        <f>'1) Data Entry Logic'!J45</f>
        <v/>
      </c>
      <c r="J52" s="26" t="inlineStr"/>
    </row>
    <row r="53" ht="43" customHeight="1">
      <c r="A53" s="20" t="inlineStr">
        <is>
          <t>3.3</t>
        </is>
      </c>
      <c r="B53" s="7" t="inlineStr">
        <is>
          <t>Quota-carrying salespeople</t>
        </is>
      </c>
      <c r="C53" s="8" t="inlineStr">
        <is>
          <t>People in quota-carrying roles at period end (roster, no names). If blank, funded − open territories.</t>
        </is>
      </c>
      <c r="D53" s="20" t="inlineStr">
        <is>
          <t>count</t>
        </is>
      </c>
      <c r="E53" s="27" t="n"/>
      <c r="F53" s="22" t="n"/>
      <c r="G53" s="33">
        <f>'1) Data Entry Logic'!E46</f>
        <v/>
      </c>
      <c r="H53" s="28">
        <f>v_filled_seats</f>
        <v/>
      </c>
      <c r="I53" s="25">
        <f>'1) Data Entry Logic'!J46</f>
        <v/>
      </c>
      <c r="J53" s="26" t="inlineStr"/>
    </row>
    <row r="54" ht="61.5" customHeight="1">
      <c r="A54" s="20" t="inlineStr">
        <is>
          <t>3.4</t>
        </is>
      </c>
      <c r="B54" s="8" t="inlineStr">
        <is>
          <t>Ramp time (months)</t>
        </is>
      </c>
      <c r="C54" s="8" t="inlineStr">
        <is>
          <t>Months until a new salesperson reaches average productivity.</t>
        </is>
      </c>
      <c r="D54" s="20" t="inlineStr">
        <is>
          <t>months</t>
        </is>
      </c>
      <c r="E54" s="34" t="n"/>
      <c r="F54" s="22" t="n"/>
      <c r="G54" s="23" t="inlineStr">
        <is>
          <t>—</t>
        </is>
      </c>
      <c r="H54" s="35">
        <f>v_ramp_months</f>
        <v/>
      </c>
      <c r="I54" s="25">
        <f>'1) Data Entry Logic'!J47</f>
        <v/>
      </c>
      <c r="J54" s="26" t="inlineStr">
        <is>
          <t>How long does it take to get a new sales person up to speed to where they are operating at maximum efficiency? Most high tech companies do a good job of training sales people on what their products are, but do very little to help them understand WHY the product is important or how to sell it. This leads to lengthy "ramp up" times. We recommend getting this figure from a sales manager.</t>
        </is>
      </c>
    </row>
    <row r="55">
      <c r="A55" s="19" t="inlineStr">
        <is>
          <t>Step 4.  Pipeline and sales mechanics   ·   Ask: Sales Operations   ·   CRM report of opportunities closed in the period, and month-end open opportunities.</t>
        </is>
      </c>
    </row>
    <row r="56" ht="17" customHeight="1">
      <c r="A56" s="20" t="inlineStr">
        <is>
          <t>4.1</t>
        </is>
      </c>
      <c r="B56" s="8" t="inlineStr">
        <is>
          <t>Qualified opportunities won, optional</t>
        </is>
      </c>
      <c r="C56" s="8" t="inlineStr">
        <is>
          <t>Closed as won in the period (CRM).</t>
        </is>
      </c>
      <c r="D56" s="20" t="inlineStr">
        <is>
          <t>count</t>
        </is>
      </c>
      <c r="E56" s="27" t="n"/>
      <c r="F56" s="22" t="n"/>
      <c r="G56" s="23" t="inlineStr">
        <is>
          <t>—</t>
        </is>
      </c>
      <c r="H56" s="28">
        <f>v_opps_won</f>
        <v/>
      </c>
      <c r="I56" s="25">
        <f>'1) Data Entry Logic'!J48</f>
        <v/>
      </c>
      <c r="J56" s="26" t="inlineStr"/>
    </row>
    <row r="57" ht="17" customHeight="1">
      <c r="A57" s="20" t="inlineStr">
        <is>
          <t>4.2</t>
        </is>
      </c>
      <c r="B57" s="8" t="inlineStr">
        <is>
          <t>Qualified opportunities lost, optional</t>
        </is>
      </c>
      <c r="C57" s="8" t="inlineStr">
        <is>
          <t>Closed as lost in the period (CRM).</t>
        </is>
      </c>
      <c r="D57" s="20" t="inlineStr">
        <is>
          <t>count</t>
        </is>
      </c>
      <c r="E57" s="27" t="n"/>
      <c r="F57" s="22" t="n"/>
      <c r="G57" s="23" t="inlineStr">
        <is>
          <t>—</t>
        </is>
      </c>
      <c r="H57" s="28">
        <f>v_opps_lost</f>
        <v/>
      </c>
      <c r="I57" s="25">
        <f>'1) Data Entry Logic'!J49</f>
        <v/>
      </c>
      <c r="J57" s="26" t="inlineStr"/>
    </row>
    <row r="58" ht="61.5" customHeight="1">
      <c r="A58" s="20" t="inlineStr">
        <is>
          <t>4.3</t>
        </is>
      </c>
      <c r="B58" s="8" t="inlineStr">
        <is>
          <t>Close rate</t>
        </is>
      </c>
      <c r="C58" s="8" t="inlineStr">
        <is>
          <t>Won ÷ (won + lost) qualified opportunities, by count.</t>
        </is>
      </c>
      <c r="D58" s="20" t="inlineStr">
        <is>
          <t>%</t>
        </is>
      </c>
      <c r="E58" s="29" t="n"/>
      <c r="F58" s="22" t="n"/>
      <c r="G58" s="30">
        <f>'1) Data Entry Logic'!E50</f>
        <v/>
      </c>
      <c r="H58" s="31">
        <f>v_win_rate</f>
        <v/>
      </c>
      <c r="I58" s="25">
        <f>'1) Data Entry Logic'!J50</f>
        <v/>
      </c>
      <c r="J58" s="26" t="inlineStr">
        <is>
          <t>This certainly can mean a lot of things to different people. Here we want to understand the effectiveness of how well your organization manages the sales process from first sales meeting to eventual close. Please estimate the percentage of all of the pipeline opportunities that your organization has worked that have resulted in an executed agreement.</t>
        </is>
      </c>
    </row>
    <row r="59" ht="73" customHeight="1">
      <c r="A59" s="20" t="inlineStr">
        <is>
          <t>4.4</t>
        </is>
      </c>
      <c r="B59" s="8" t="inlineStr">
        <is>
          <t>Sales cycle (months)</t>
        </is>
      </c>
      <c r="C59" s="8" t="inlineStr">
        <is>
          <t>Median months from qualified opportunity to signature, for won deals (CRM).</t>
        </is>
      </c>
      <c r="D59" s="20" t="inlineStr">
        <is>
          <t>months</t>
        </is>
      </c>
      <c r="E59" s="34" t="n"/>
      <c r="F59" s="22" t="n"/>
      <c r="G59" s="23" t="inlineStr">
        <is>
          <t>—</t>
        </is>
      </c>
      <c r="H59" s="35">
        <f>v_cycle_months</f>
        <v/>
      </c>
      <c r="I59" s="25">
        <f>'1) Data Entry Logic'!J51</f>
        <v/>
      </c>
      <c r="J59" s="26" t="inlineStr">
        <is>
          <t>Tracks how long from when a qualified opportunity enters the pipeline to when it closes as a sale. Your sales process may have many steps, so for simplicity track the time it takes from first meeting to the date the agreement is received by accounting. Most organizations do not track this information, so if you do not have the data - make an estimate. The single greatest impact you can have on your business is to shorten your sales cycle times.</t>
        </is>
      </c>
    </row>
    <row r="60" ht="73" customHeight="1">
      <c r="A60" s="20" t="inlineStr">
        <is>
          <t>4.5</t>
        </is>
      </c>
      <c r="B60" s="8" t="inlineStr">
        <is>
          <t>Average revenue per contract</t>
        </is>
      </c>
      <c r="C60" s="8" t="inlineStr">
        <is>
          <t>Average deal size. Our estimate is revenue ÷ contracts.</t>
        </is>
      </c>
      <c r="D60" s="20" t="inlineStr">
        <is>
          <t>$</t>
        </is>
      </c>
      <c r="E60" s="21" t="n"/>
      <c r="F60" s="22" t="n"/>
      <c r="G60" s="32">
        <f>'1) Data Entry Logic'!E52</f>
        <v/>
      </c>
      <c r="H60" s="24">
        <f>v_deal_size</f>
        <v/>
      </c>
      <c r="I60" s="25">
        <f>'1) Data Entry Logic'!J52</f>
        <v/>
      </c>
      <c r="J60" s="26" t="inlineStr">
        <is>
          <t>This is the average deal size for your company. For this simple analysis, you can get this figure by dividing your revenue by total number of contracts. For more detailed analysis, we recommend that you break things down into product lines, services offerings, and sales channels. You should also separate new client revenue from upselling your installed base. For professional services, credit the total esimated hours for a project towards one sales transaction.</t>
        </is>
      </c>
    </row>
    <row r="61" ht="30" customHeight="1">
      <c r="A61" s="20" t="inlineStr">
        <is>
          <t>4.6</t>
        </is>
      </c>
      <c r="B61" s="8" t="inlineStr">
        <is>
          <t>Open qualified opportunities, optional</t>
        </is>
      </c>
      <c r="C61" s="8" t="inlineStr">
        <is>
          <t>Average of month-end open qualified opportunities across all salespeople (CRM).</t>
        </is>
      </c>
      <c r="D61" s="20" t="inlineStr">
        <is>
          <t>count</t>
        </is>
      </c>
      <c r="E61" s="27" t="n"/>
      <c r="F61" s="22" t="n"/>
      <c r="G61" s="23" t="inlineStr">
        <is>
          <t>—</t>
        </is>
      </c>
      <c r="H61" s="28">
        <f>v_open_opps_total</f>
        <v/>
      </c>
      <c r="I61" s="25">
        <f>'1) Data Entry Logic'!J53</f>
        <v/>
      </c>
      <c r="J61" s="26" t="inlineStr"/>
    </row>
    <row r="62" ht="84.5" customHeight="1">
      <c r="A62" s="20" t="inlineStr">
        <is>
          <t>4.7</t>
        </is>
      </c>
      <c r="B62" s="8" t="inlineStr">
        <is>
          <t>Opportunities a salesperson can manage at once</t>
        </is>
      </c>
      <c r="C62" s="8" t="inlineStr">
        <is>
          <t>Most qualified opportunities a salesperson can hold and advance well at the same time.</t>
        </is>
      </c>
      <c r="D62" s="20" t="inlineStr">
        <is>
          <t>count</t>
        </is>
      </c>
      <c r="E62" s="27" t="n"/>
      <c r="F62" s="22" t="n"/>
      <c r="G62" s="23" t="inlineStr">
        <is>
          <t>—</t>
        </is>
      </c>
      <c r="H62" s="28">
        <f>v_opportunities_capacity</f>
        <v/>
      </c>
      <c r="I62" s="25">
        <f>'1) Data Entry Logic'!J54</f>
        <v/>
      </c>
      <c r="J62" s="26" t="inlineStr">
        <is>
          <t>One driver of sales force inefficiency is the amount of NON-selling time spent by sales people. Some companies estimate as much at 50% of their time is invested in "non-selling" activities. Our studies reveal that a larger portion of that time in spend in activitity that isn't value-added to customers. The best way to financially measure that impact is by monitoring the number of accounts any given sales person can effectively manage at the same time. The greater amount of time you allow your sales people to sell - the more opportunities they can work in a given year.</t>
        </is>
      </c>
    </row>
    <row r="65">
      <c r="A65" s="36" t="inlineStr">
        <is>
          <t>Checks: do your numbers agree with each other?</t>
        </is>
      </c>
    </row>
    <row r="66">
      <c r="A66" s="18" t="inlineStr"/>
      <c r="B66" s="18" t="inlineStr">
        <is>
          <t>Check</t>
        </is>
      </c>
      <c r="C66" s="18" t="inlineStr">
        <is>
          <t>What it compares</t>
        </is>
      </c>
      <c r="D66" s="18" t="inlineStr"/>
      <c r="E66" s="18" t="inlineStr">
        <is>
          <t>Model implies</t>
        </is>
      </c>
      <c r="F66" s="18" t="inlineStr">
        <is>
          <t>You reported</t>
        </is>
      </c>
      <c r="G66" s="18" t="inlineStr">
        <is>
          <t>Gap</t>
        </is>
      </c>
      <c r="H66" s="18" t="inlineStr">
        <is>
          <t>Status</t>
        </is>
      </c>
      <c r="I66" s="18" t="inlineStr">
        <is>
          <t>Entries involved</t>
        </is>
      </c>
      <c r="J66" s="18" t="inlineStr">
        <is>
          <t>What to do</t>
        </is>
      </c>
    </row>
    <row r="67" ht="30" customHeight="1">
      <c r="A67" s="20" t="n">
        <v>1</v>
      </c>
      <c r="B67" s="7" t="inlineStr">
        <is>
          <t>Deal size</t>
        </is>
      </c>
      <c r="C67" s="8" t="inlineStr">
        <is>
          <t>Revenue ÷ contracts, compared with the deal size used</t>
        </is>
      </c>
      <c r="E67" s="32">
        <f>'1) Data Entry Logic'!D60</f>
        <v/>
      </c>
      <c r="F67" s="32">
        <f>'1) Data Entry Logic'!E60</f>
        <v/>
      </c>
      <c r="G67" s="37">
        <f>'1) Data Entry Logic'!F60</f>
        <v/>
      </c>
      <c r="H67" s="38">
        <f>'1) Data Entry Logic'!H60</f>
        <v/>
      </c>
      <c r="I67" s="8" t="inlineStr">
        <is>
          <t>Revenue, contracts, deal size</t>
        </is>
      </c>
      <c r="J67" s="26">
        <f>IF(H67="REVIEW","These entries cannot all be true. Revise one, or write the explanation here.",IF(H67="NEEDS DATA","Enter the optional data above to run this check.",""))</f>
        <v/>
      </c>
    </row>
    <row r="68" ht="30" customHeight="1">
      <c r="A68" s="20" t="n">
        <v>2</v>
      </c>
      <c r="B68" s="7" t="inlineStr">
        <is>
          <t>Revenue</t>
        </is>
      </c>
      <c r="C68" s="8" t="inlineStr">
        <is>
          <t>Revenue the model produces at baseline, compared with revenue reported</t>
        </is>
      </c>
      <c r="E68" s="32">
        <f>'1) Data Entry Logic'!D61</f>
        <v/>
      </c>
      <c r="F68" s="32">
        <f>'1) Data Entry Logic'!E61</f>
        <v/>
      </c>
      <c r="G68" s="37">
        <f>'1) Data Entry Logic'!F61</f>
        <v/>
      </c>
      <c r="H68" s="38">
        <f>'1) Data Entry Logic'!H61</f>
        <v/>
      </c>
      <c r="I68" s="8" t="inlineStr">
        <is>
          <t>Salespeople, capacity, opportunities held, cycle, close rate, deal size, revenue</t>
        </is>
      </c>
      <c r="J68" s="26">
        <f>IF(H68="REVIEW","These entries cannot all be true. Revise one, or write the explanation here.",IF(H68="NEEDS DATA","Enter the optional data above to run this check.",""))</f>
        <v/>
      </c>
    </row>
    <row r="69" ht="30" customHeight="1">
      <c r="A69" s="20" t="n">
        <v>3</v>
      </c>
      <c r="B69" s="7" t="inlineStr">
        <is>
          <t>Contracts</t>
        </is>
      </c>
      <c r="C69" s="8" t="inlineStr">
        <is>
          <t>Contracts the model produces at baseline, compared with contracts reported</t>
        </is>
      </c>
      <c r="E69" s="39">
        <f>'1) Data Entry Logic'!D62</f>
        <v/>
      </c>
      <c r="F69" s="39">
        <f>'1) Data Entry Logic'!E62</f>
        <v/>
      </c>
      <c r="G69" s="37">
        <f>'1) Data Entry Logic'!F62</f>
        <v/>
      </c>
      <c r="H69" s="38">
        <f>'1) Data Entry Logic'!H62</f>
        <v/>
      </c>
      <c r="I69" s="8" t="inlineStr">
        <is>
          <t>Salespeople, capacity, opportunities held, cycle, close rate, contracts</t>
        </is>
      </c>
      <c r="J69" s="26">
        <f>IF(H69="REVIEW","These entries cannot all be true. Revise one, or write the explanation here.",IF(H69="NEEDS DATA","Enter the optional data above to run this check.",""))</f>
        <v/>
      </c>
    </row>
    <row r="70" ht="30" customHeight="1">
      <c r="A70" s="20" t="n">
        <v>4</v>
      </c>
      <c r="B70" s="7" t="inlineStr">
        <is>
          <t>Close rate</t>
        </is>
      </c>
      <c r="C70" s="8" t="inlineStr">
        <is>
          <t>CRM won ÷ (won + lost), compared with the close rate used</t>
        </is>
      </c>
      <c r="E70" s="30">
        <f>'1) Data Entry Logic'!D63</f>
        <v/>
      </c>
      <c r="F70" s="30">
        <f>'1) Data Entry Logic'!E63</f>
        <v/>
      </c>
      <c r="G70" s="37">
        <f>'1) Data Entry Logic'!F63</f>
        <v/>
      </c>
      <c r="H70" s="38">
        <f>'1) Data Entry Logic'!H63</f>
        <v/>
      </c>
      <c r="I70" s="8" t="inlineStr">
        <is>
          <t>Opportunities won and lost, close rate</t>
        </is>
      </c>
      <c r="J70" s="26">
        <f>IF(H70="REVIEW","These entries cannot all be true. Revise one, or write the explanation here.",IF(H70="NEEDS DATA","Enter the optional data above to run this check.",""))</f>
        <v/>
      </c>
    </row>
    <row r="71" ht="30" customHeight="1">
      <c r="A71" s="20" t="n">
        <v>5</v>
      </c>
      <c r="B71" s="7" t="inlineStr">
        <is>
          <t>Commission</t>
        </is>
      </c>
      <c r="C71" s="8" t="inlineStr">
        <is>
          <t>Commissions paid ÷ revenue, compared with the commission rate used</t>
        </is>
      </c>
      <c r="E71" s="30">
        <f>'1) Data Entry Logic'!D64</f>
        <v/>
      </c>
      <c r="F71" s="30">
        <f>'1) Data Entry Logic'!E64</f>
        <v/>
      </c>
      <c r="G71" s="37">
        <f>'1) Data Entry Logic'!F64</f>
        <v/>
      </c>
      <c r="H71" s="38">
        <f>'1) Data Entry Logic'!H64</f>
        <v/>
      </c>
      <c r="I71" s="8" t="inlineStr">
        <is>
          <t>Commissions paid, revenue, commission rate</t>
        </is>
      </c>
      <c r="J71" s="26">
        <f>IF(H71="REVIEW","These entries cannot all be true. Revise one, or write the explanation here.",IF(H71="NEEDS DATA","Enter the optional data above to run this check.",""))</f>
        <v/>
      </c>
    </row>
    <row r="72" ht="56" customHeight="1">
      <c r="A72" s="20" t="n">
        <v>6</v>
      </c>
      <c r="B72" s="7" t="inlineStr">
        <is>
          <t>Little's Law</t>
        </is>
      </c>
      <c r="C72" s="8" t="inlineStr">
        <is>
          <t>Opportunities each salesperson must hold to close the reported contracts (contracts ÷ close rate ÷ salespeople × cycle ÷ 12), compared with opportunities held in the CRM</t>
        </is>
      </c>
      <c r="E72" s="39">
        <f>'1) Data Entry Logic'!D65</f>
        <v/>
      </c>
      <c r="F72" s="39">
        <f>'1) Data Entry Logic'!E65</f>
        <v/>
      </c>
      <c r="G72" s="37">
        <f>'1) Data Entry Logic'!F65</f>
        <v/>
      </c>
      <c r="H72" s="38">
        <f>'1) Data Entry Logic'!H65</f>
        <v/>
      </c>
      <c r="I72" s="8" t="inlineStr">
        <is>
          <t>Contracts, close rate, salespeople, cycle, open opportunities</t>
        </is>
      </c>
      <c r="J72" s="26">
        <f>IF(H72="REVIEW","These entries cannot all be true. Revise one, or write the explanation here.",IF(H72="NEEDS DATA","Enter the optional data above to run this check.",""))</f>
        <v/>
      </c>
    </row>
    <row r="73" ht="43" customHeight="1">
      <c r="A73" s="20" t="n">
        <v>7</v>
      </c>
      <c r="B73" s="7" t="inlineStr">
        <is>
          <t>Territories</t>
        </is>
      </c>
      <c r="C73" s="8" t="inlineStr">
        <is>
          <t>Salespeople + open territories, compared with funded territories (runs only when the salesperson count is entered, not estimated)</t>
        </is>
      </c>
      <c r="E73" s="39">
        <f>'1) Data Entry Logic'!D66</f>
        <v/>
      </c>
      <c r="F73" s="39">
        <f>'1) Data Entry Logic'!E66</f>
        <v/>
      </c>
      <c r="G73" s="37">
        <f>'1) Data Entry Logic'!F66</f>
        <v/>
      </c>
      <c r="H73" s="38">
        <f>'1) Data Entry Logic'!H66</f>
        <v/>
      </c>
      <c r="I73" s="8" t="inlineStr">
        <is>
          <t>Salespeople, open territories, funded territories</t>
        </is>
      </c>
      <c r="J73" s="26">
        <f>IF(H73="REVIEW","These entries cannot all be true. Revise one, or write the explanation here.",IF(H73="NEEDS DATA","Enter the optional data above to run this check.",""))</f>
        <v/>
      </c>
    </row>
    <row r="75">
      <c r="B75" s="36" t="inlineStr">
        <is>
          <t>Source of the values used</t>
        </is>
      </c>
    </row>
    <row r="76">
      <c r="B76" s="8" t="inlineStr">
        <is>
          <t>Validated by Finance</t>
        </is>
      </c>
      <c r="C76" s="40">
        <f>COUNTIF('1) Data Entry Logic'!$J$8:$J$54,"Validated by Finance*")</f>
        <v/>
      </c>
    </row>
    <row r="77">
      <c r="B77" s="8" t="inlineStr">
        <is>
          <t>Your entry (not validated)</t>
        </is>
      </c>
      <c r="C77" s="40">
        <f>COUNTIF('1) Data Entry Logic'!$J$8:$J$54,"Your entry (not validated)*")</f>
        <v/>
      </c>
    </row>
    <row r="78">
      <c r="B78" s="8" t="inlineStr">
        <is>
          <t>Our estimate</t>
        </is>
      </c>
      <c r="C78" s="40">
        <f>COUNTIF('1) Data Entry Logic'!$J$8:$J$54,"Our estimate*")</f>
        <v/>
      </c>
    </row>
    <row r="79">
      <c r="B79" s="8" t="inlineStr">
        <is>
          <t>Default (sample)</t>
        </is>
      </c>
      <c r="C79" s="40">
        <f>COUNTIF('1) Data Entry Logic'!$J$8:$J$54,"Default (sample)*")</f>
        <v/>
      </c>
    </row>
    <row r="80">
      <c r="B80" s="8" t="inlineStr">
        <is>
          <t>Not provided (optional)</t>
        </is>
      </c>
      <c r="C80" s="40">
        <f>COUNTIF('1) Data Entry Logic'!$J$8:$J$54,"Not provided (optional)*")</f>
        <v/>
      </c>
    </row>
  </sheetData>
  <mergeCells count="17">
    <mergeCell ref="A5:J5"/>
    <mergeCell ref="A8:J8"/>
    <mergeCell ref="C68:D68"/>
    <mergeCell ref="A6:J6"/>
    <mergeCell ref="C67:D67"/>
    <mergeCell ref="C72:D72"/>
    <mergeCell ref="A3:J3"/>
    <mergeCell ref="A21:J21"/>
    <mergeCell ref="C71:D71"/>
    <mergeCell ref="A55:J55"/>
    <mergeCell ref="A12:J12"/>
    <mergeCell ref="A7:J7"/>
    <mergeCell ref="A50:J50"/>
    <mergeCell ref="A65:J65"/>
    <mergeCell ref="C70:D70"/>
    <mergeCell ref="C69:D69"/>
    <mergeCell ref="C73:D73"/>
  </mergeCells>
  <conditionalFormatting sqref="I12:I63">
    <cfRule type="expression" priority="1" dxfId="0">
      <formula>LEFT(I12,7)="Default"</formula>
    </cfRule>
    <cfRule type="expression" priority="2" dxfId="1">
      <formula>I12="Validated by Finance"</formula>
    </cfRule>
  </conditionalFormatting>
  <conditionalFormatting sqref="H67:H73">
    <cfRule type="expression" priority="3" dxfId="2">
      <formula>H67="PASS"</formula>
    </cfRule>
    <cfRule type="expression" priority="4" dxfId="3">
      <formula>H67="REVIEW"</formula>
    </cfRule>
  </conditionalFormatting>
  <dataValidations count="1">
    <dataValidation sqref="F13 F14 F15 F16 F17 F18 F19 F20 F22 F23 F24 F25 F26 F27 F28 F29 F30 F31 F32 F33 F34 F35 F36 F37 F38 F39 F40 F41 F42 F43 F44 F45 F46 F47 F48 F49 F51 F52 F53 F54 F56 F57 F58 F59 F60 F61 F62" showDropDown="0" showInputMessage="0" showErrorMessage="0" allowBlank="1" type="list">
      <formula1>"Validated by Finance,Your entry,Use our estimate"</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808080"/>
    <outlinePr summaryBelow="1" summaryRight="1"/>
    <pageSetUpPr fitToPage="1"/>
  </sheetPr>
  <dimension ref="A1:L73"/>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22" customWidth="1" min="1" max="1"/>
    <col width="34" customWidth="1" min="2" max="2"/>
    <col width="14" customWidth="1" min="3" max="3"/>
    <col width="20" customWidth="1" min="4" max="4"/>
    <col width="14" customWidth="1" min="5" max="5"/>
    <col width="36" customWidth="1" min="6" max="6"/>
    <col width="14" customWidth="1" min="7" max="7"/>
    <col width="26" customWidth="1" min="8" max="8"/>
    <col width="15" customWidth="1" min="9" max="9"/>
    <col width="26" customWidth="1" min="10" max="10"/>
    <col width="40" customWidth="1" min="11" max="11"/>
    <col width="36" customWidth="1" min="12" max="12"/>
  </cols>
  <sheetData>
    <row r="1">
      <c r="A1" s="14" t="inlineStr">
        <is>
          <t>1) Data Entry Logic</t>
        </is>
      </c>
    </row>
    <row r="2">
      <c r="A2" s="15" t="inlineStr">
        <is>
          <t>Programming logic for the data entry. Nothing here is typed by the client; every cell is a formula or a fixed default.</t>
        </is>
      </c>
    </row>
    <row r="3">
      <c r="A3" s="17" t="inlineStr">
        <is>
          <t>Rule for Value used:  if Source = “Use our estimate” and an estimate exists → Our estimate;  otherwise, if Your value is entered → Your value;  otherwise → Default.</t>
        </is>
      </c>
    </row>
    <row r="4">
      <c r="A4" s="17" t="inlineStr">
        <is>
          <t>Rule for Basis:  Validated by Finance (value entered and source = Validated by Finance) · Your entry (not validated) · Our estimate · Default (sample) · Not provided (optional entry left blank).</t>
        </is>
      </c>
    </row>
    <row r="5">
      <c r="A5" s="17" t="inlineStr">
        <is>
          <t>Every Value used cell is a workbook name, v_&lt;ID&gt;. It is the only way any other worksheet reads an entry.</t>
        </is>
      </c>
    </row>
    <row r="7">
      <c r="A7" s="18" t="inlineStr">
        <is>
          <t>ID</t>
        </is>
      </c>
      <c r="B7" s="18" t="inlineStr">
        <is>
          <t>Entry</t>
        </is>
      </c>
      <c r="C7" s="18" t="inlineStr">
        <is>
          <t>Your value</t>
        </is>
      </c>
      <c r="D7" s="18" t="inlineStr">
        <is>
          <t>Source chosen</t>
        </is>
      </c>
      <c r="E7" s="18" t="inlineStr">
        <is>
          <t>Our estimate</t>
        </is>
      </c>
      <c r="F7" s="18" t="inlineStr">
        <is>
          <t>How our estimate is calculated</t>
        </is>
      </c>
      <c r="G7" s="18" t="inlineStr">
        <is>
          <t>Default</t>
        </is>
      </c>
      <c r="H7" s="18" t="inlineStr">
        <is>
          <t>Default context</t>
        </is>
      </c>
      <c r="I7" s="18" t="inlineStr">
        <is>
          <t>Value used</t>
        </is>
      </c>
      <c r="J7" s="18" t="inlineStr">
        <is>
          <t>Basis</t>
        </is>
      </c>
      <c r="K7" s="18" t="inlineStr">
        <is>
          <t>What would prove it wrong</t>
        </is>
      </c>
      <c r="L7" s="18" t="inlineStr">
        <is>
          <t>Used by</t>
        </is>
      </c>
    </row>
    <row r="8">
      <c r="A8" s="26" t="inlineStr">
        <is>
          <t>revenue</t>
        </is>
      </c>
      <c r="B8" s="8" t="inlineStr">
        <is>
          <t>Revenue</t>
        </is>
      </c>
      <c r="C8" s="32">
        <f>IF('1) Data Entry'!E13="","",'1) Data Entry'!E13)</f>
        <v/>
      </c>
      <c r="D8" s="25">
        <f>IF('1) Data Entry'!F13="","",'1) Data Entry'!F13)</f>
        <v/>
      </c>
      <c r="E8" s="41" t="inlineStr"/>
      <c r="F8" s="26" t="inlineStr">
        <is>
          <t>No estimate: enter a value or use the default</t>
        </is>
      </c>
      <c r="G8" s="41" t="n">
        <v>25000000</v>
      </c>
      <c r="H8" s="26" t="inlineStr">
        <is>
          <t>As-is model sample (illustrative)</t>
        </is>
      </c>
      <c r="I8" s="24">
        <f>IF(AND(D8="Use our estimate",E8&lt;&gt;""),E8,IF(C8&lt;&gt;"",C8,G8))</f>
        <v/>
      </c>
      <c r="J8" s="42">
        <f>IF(I8="","Not provided (optional)",IF(AND(D8="Use our estimate",E8&lt;&gt;""),"Our estimate",IF(C8&lt;&gt;"",IF(D8="Validated by Finance","Validated by Finance","Your entry (not validated)"),"Default (sample)")))</f>
        <v/>
      </c>
      <c r="K8" s="26" t="inlineStr">
        <is>
          <t>Model baseline revenue differs from it (revenue check)</t>
        </is>
      </c>
      <c r="L8" s="26" t="inlineStr">
        <is>
          <t>Checks: revenue, deal size, commission</t>
        </is>
      </c>
    </row>
    <row r="9">
      <c r="A9" s="26" t="inlineStr">
        <is>
          <t>contracts</t>
        </is>
      </c>
      <c r="B9" s="8" t="inlineStr">
        <is>
          <t>Contracts closed</t>
        </is>
      </c>
      <c r="C9" s="33">
        <f>IF('1) Data Entry'!E14="","",'1) Data Entry'!E14)</f>
        <v/>
      </c>
      <c r="D9" s="25">
        <f>IF('1) Data Entry'!F14="","",'1) Data Entry'!F14)</f>
        <v/>
      </c>
      <c r="E9" s="43" t="inlineStr"/>
      <c r="F9" s="26" t="inlineStr">
        <is>
          <t>No estimate: enter a value or use the default</t>
        </is>
      </c>
      <c r="G9" s="43" t="n">
        <v>755</v>
      </c>
      <c r="H9" s="26" t="inlineStr">
        <is>
          <t>As-is model sample (illustrative)</t>
        </is>
      </c>
      <c r="I9" s="28">
        <f>IF(AND(D9="Use our estimate",E9&lt;&gt;""),E9,IF(C9&lt;&gt;"",C9,G9))</f>
        <v/>
      </c>
      <c r="J9" s="42">
        <f>IF(I9="","Not provided (optional)",IF(AND(D9="Use our estimate",E9&lt;&gt;""),"Our estimate",IF(C9&lt;&gt;"",IF(D9="Validated by Finance","Validated by Finance","Your entry (not validated)"),"Default (sample)")))</f>
        <v/>
      </c>
      <c r="K9" s="26" t="inlineStr">
        <is>
          <t>Won opportunities in the CRM differ; model contracts differ (contracts check)</t>
        </is>
      </c>
      <c r="L9" s="26" t="inlineStr">
        <is>
          <t>Checks: contracts, deal size</t>
        </is>
      </c>
    </row>
    <row r="10">
      <c r="A10" s="26" t="inlineStr">
        <is>
          <t>cost_of_revenue_amt</t>
        </is>
      </c>
      <c r="B10" s="8" t="inlineStr">
        <is>
          <t>Cost of revenue ($), optional</t>
        </is>
      </c>
      <c r="C10" s="32">
        <f>IF('1) Data Entry'!E15="","",'1) Data Entry'!E15)</f>
        <v/>
      </c>
      <c r="D10" s="25">
        <f>IF('1) Data Entry'!F15="","",'1) Data Entry'!F15)</f>
        <v/>
      </c>
      <c r="E10" s="41" t="inlineStr"/>
      <c r="F10" s="26" t="inlineStr">
        <is>
          <t>No estimate: enter a value or use the default</t>
        </is>
      </c>
      <c r="G10" s="42">
        <f>""</f>
        <v/>
      </c>
      <c r="H10" s="26" t="inlineStr">
        <is>
          <t>Optional; no default</t>
        </is>
      </c>
      <c r="I10" s="24">
        <f>IF(AND(D10="Use our estimate",E10&lt;&gt;""),E10,IF(C10&lt;&gt;"",C10,G10))</f>
        <v/>
      </c>
      <c r="J10" s="42">
        <f>IF(I10="","Not provided (optional)",IF(AND(D10="Use our estimate",E10&lt;&gt;""),"Our estimate",IF(C10&lt;&gt;"",IF(D10="Validated by Finance","Validated by Finance","Your entry (not validated)"),"Default (sample)")))</f>
        <v/>
      </c>
      <c r="K10" s="26" t="inlineStr"/>
      <c r="L10" s="26" t="inlineStr">
        <is>
          <t>Estimate of cost of revenue %</t>
        </is>
      </c>
    </row>
    <row r="11">
      <c r="A11" s="26" t="inlineStr">
        <is>
          <t>cost_of_revenue_pct</t>
        </is>
      </c>
      <c r="B11" s="8" t="inlineStr">
        <is>
          <t>Cost of revenue, % of revenue</t>
        </is>
      </c>
      <c r="C11" s="30">
        <f>IF('1) Data Entry'!E16="","",'1) Data Entry'!E16)</f>
        <v/>
      </c>
      <c r="D11" s="25">
        <f>IF('1) Data Entry'!F16="","",'1) Data Entry'!F16)</f>
        <v/>
      </c>
      <c r="E11" s="44">
        <f>IFERROR(IF(OR(v_cost_of_revenue_amt="",v_revenue=""),"",v_cost_of_revenue_amt/v_revenue),"")</f>
        <v/>
      </c>
      <c r="F11" s="8" t="inlineStr">
        <is>
          <t>Cost of revenue ($) ÷ revenue</t>
        </is>
      </c>
      <c r="G11" s="44" t="n">
        <v>0.1322</v>
      </c>
      <c r="H11" s="26" t="inlineStr">
        <is>
          <t>As-is model sample (illustrative)</t>
        </is>
      </c>
      <c r="I11" s="31">
        <f>IF(AND(D11="Use our estimate",E11&lt;&gt;""),E11,IF(C11&lt;&gt;"",C11,G11))</f>
        <v/>
      </c>
      <c r="J11" s="42">
        <f>IF(I11="","Not provided (optional)",IF(AND(D11="Use our estimate",E11&lt;&gt;""),"Our estimate",IF(C11&lt;&gt;"",IF(D11="Validated by Finance","Validated by Finance","Your entry (not validated)"),"Default (sample)")))</f>
        <v/>
      </c>
      <c r="K11" s="26" t="inlineStr">
        <is>
          <t>Income statement history shows a different ratio or a fixed part</t>
        </is>
      </c>
      <c r="L11" s="26" t="inlineStr">
        <is>
          <t>Income statement: cost of revenue</t>
        </is>
      </c>
    </row>
    <row r="12">
      <c r="A12" s="26" t="inlineStr">
        <is>
          <t>rnd_amt</t>
        </is>
      </c>
      <c r="B12" s="8" t="inlineStr">
        <is>
          <t>Research and development ($), optional</t>
        </is>
      </c>
      <c r="C12" s="32">
        <f>IF('1) Data Entry'!E17="","",'1) Data Entry'!E17)</f>
        <v/>
      </c>
      <c r="D12" s="25">
        <f>IF('1) Data Entry'!F17="","",'1) Data Entry'!F17)</f>
        <v/>
      </c>
      <c r="E12" s="41" t="inlineStr"/>
      <c r="F12" s="26" t="inlineStr">
        <is>
          <t>No estimate: enter a value or use the default</t>
        </is>
      </c>
      <c r="G12" s="42">
        <f>""</f>
        <v/>
      </c>
      <c r="H12" s="26" t="inlineStr">
        <is>
          <t>Optional; no default</t>
        </is>
      </c>
      <c r="I12" s="24">
        <f>IF(AND(D12="Use our estimate",E12&lt;&gt;""),E12,IF(C12&lt;&gt;"",C12,G12))</f>
        <v/>
      </c>
      <c r="J12" s="42">
        <f>IF(I12="","Not provided (optional)",IF(AND(D12="Use our estimate",E12&lt;&gt;""),"Our estimate",IF(C12&lt;&gt;"",IF(D12="Validated by Finance","Validated by Finance","Your entry (not validated)"),"Default (sample)")))</f>
        <v/>
      </c>
      <c r="K12" s="26" t="inlineStr"/>
      <c r="L12" s="26" t="inlineStr">
        <is>
          <t>Estimate of R&amp;D %</t>
        </is>
      </c>
    </row>
    <row r="13">
      <c r="A13" s="26" t="inlineStr">
        <is>
          <t>rnd_pct</t>
        </is>
      </c>
      <c r="B13" s="8" t="inlineStr">
        <is>
          <t>R&amp;D, % of revenue</t>
        </is>
      </c>
      <c r="C13" s="30">
        <f>IF('1) Data Entry'!E18="","",'1) Data Entry'!E18)</f>
        <v/>
      </c>
      <c r="D13" s="25">
        <f>IF('1) Data Entry'!F18="","",'1) Data Entry'!F18)</f>
        <v/>
      </c>
      <c r="E13" s="44">
        <f>IFERROR(IF(OR(v_revenue="",v_rnd_amt=""),"",v_rnd_amt/v_revenue),"")</f>
        <v/>
      </c>
      <c r="F13" s="8" t="inlineStr">
        <is>
          <t>R&amp;D ($) ÷ revenue</t>
        </is>
      </c>
      <c r="G13" s="44" t="n">
        <v>0.1019</v>
      </c>
      <c r="H13" s="26" t="inlineStr">
        <is>
          <t>As-is model sample (illustrative)</t>
        </is>
      </c>
      <c r="I13" s="31">
        <f>IF(AND(D13="Use our estimate",E13&lt;&gt;""),E13,IF(C13&lt;&gt;"",C13,G13))</f>
        <v/>
      </c>
      <c r="J13" s="42">
        <f>IF(I13="","Not provided (optional)",IF(AND(D13="Use our estimate",E13&lt;&gt;""),"Our estimate",IF(C13&lt;&gt;"",IF(D13="Validated by Finance","Validated by Finance","Your entry (not validated)"),"Default (sample)")))</f>
        <v/>
      </c>
      <c r="K13" s="26" t="inlineStr">
        <is>
          <t>R&amp;D does not move with revenue</t>
        </is>
      </c>
      <c r="L13" s="26" t="inlineStr">
        <is>
          <t>Income statement: R&amp;D</t>
        </is>
      </c>
    </row>
    <row r="14">
      <c r="A14" s="26" t="inlineStr">
        <is>
          <t>gna_amt</t>
        </is>
      </c>
      <c r="B14" s="8" t="inlineStr">
        <is>
          <t>General and administrative ($), optional</t>
        </is>
      </c>
      <c r="C14" s="32">
        <f>IF('1) Data Entry'!E19="","",'1) Data Entry'!E19)</f>
        <v/>
      </c>
      <c r="D14" s="25">
        <f>IF('1) Data Entry'!F19="","",'1) Data Entry'!F19)</f>
        <v/>
      </c>
      <c r="E14" s="41" t="inlineStr"/>
      <c r="F14" s="26" t="inlineStr">
        <is>
          <t>No estimate: enter a value or use the default</t>
        </is>
      </c>
      <c r="G14" s="42">
        <f>""</f>
        <v/>
      </c>
      <c r="H14" s="26" t="inlineStr">
        <is>
          <t>Optional; no default</t>
        </is>
      </c>
      <c r="I14" s="24">
        <f>IF(AND(D14="Use our estimate",E14&lt;&gt;""),E14,IF(C14&lt;&gt;"",C14,G14))</f>
        <v/>
      </c>
      <c r="J14" s="42">
        <f>IF(I14="","Not provided (optional)",IF(AND(D14="Use our estimate",E14&lt;&gt;""),"Our estimate",IF(C14&lt;&gt;"",IF(D14="Validated by Finance","Validated by Finance","Your entry (not validated)"),"Default (sample)")))</f>
        <v/>
      </c>
      <c r="K14" s="26" t="inlineStr"/>
      <c r="L14" s="26" t="inlineStr">
        <is>
          <t>Estimate of G&amp;A %</t>
        </is>
      </c>
    </row>
    <row r="15">
      <c r="A15" s="26" t="inlineStr">
        <is>
          <t>gna_pct</t>
        </is>
      </c>
      <c r="B15" s="8" t="inlineStr">
        <is>
          <t>G&amp;A, % of revenue</t>
        </is>
      </c>
      <c r="C15" s="30">
        <f>IF('1) Data Entry'!E20="","",'1) Data Entry'!E20)</f>
        <v/>
      </c>
      <c r="D15" s="25">
        <f>IF('1) Data Entry'!F20="","",'1) Data Entry'!F20)</f>
        <v/>
      </c>
      <c r="E15" s="44">
        <f>IFERROR(IF(OR(v_gna_amt="",v_revenue=""),"",v_gna_amt/v_revenue),"")</f>
        <v/>
      </c>
      <c r="F15" s="8" t="inlineStr">
        <is>
          <t>G&amp;A ($) ÷ revenue</t>
        </is>
      </c>
      <c r="G15" s="44" t="n">
        <v>0.154</v>
      </c>
      <c r="H15" s="26" t="inlineStr">
        <is>
          <t>As-is model sample (illustrative)</t>
        </is>
      </c>
      <c r="I15" s="31">
        <f>IF(AND(D15="Use our estimate",E15&lt;&gt;""),E15,IF(C15&lt;&gt;"",C15,G15))</f>
        <v/>
      </c>
      <c r="J15" s="42">
        <f>IF(I15="","Not provided (optional)",IF(AND(D15="Use our estimate",E15&lt;&gt;""),"Our estimate",IF(C15&lt;&gt;"",IF(D15="Validated by Finance","Validated by Finance","Your entry (not validated)"),"Default (sample)")))</f>
        <v/>
      </c>
      <c r="K15" s="26" t="inlineStr">
        <is>
          <t>G&amp;A does not move with revenue</t>
        </is>
      </c>
      <c r="L15" s="26" t="inlineStr">
        <is>
          <t>Income statement: G&amp;A</t>
        </is>
      </c>
    </row>
    <row r="16">
      <c r="A16" s="26" t="inlineStr">
        <is>
          <t>base_salary</t>
        </is>
      </c>
      <c r="B16" s="8" t="inlineStr">
        <is>
          <t>Average base salary per salesperson</t>
        </is>
      </c>
      <c r="C16" s="32">
        <f>IF('1) Data Entry'!E22="","",'1) Data Entry'!E22)</f>
        <v/>
      </c>
      <c r="D16" s="25">
        <f>IF('1) Data Entry'!F22="","",'1) Data Entry'!F22)</f>
        <v/>
      </c>
      <c r="E16" s="41" t="inlineStr"/>
      <c r="F16" s="26" t="inlineStr">
        <is>
          <t>No estimate: enter a value or use the default</t>
        </is>
      </c>
      <c r="G16" s="41" t="n">
        <v>95000</v>
      </c>
      <c r="H16" s="26" t="inlineStr">
        <is>
          <t>As-is model sample (illustrative)</t>
        </is>
      </c>
      <c r="I16" s="24">
        <f>IF(AND(D16="Use our estimate",E16&lt;&gt;""),E16,IF(C16&lt;&gt;"",C16,G16))</f>
        <v/>
      </c>
      <c r="J16" s="42">
        <f>IF(I16="","Not provided (optional)",IF(AND(D16="Use our estimate",E16&lt;&gt;""),"Our estimate",IF(C16&lt;&gt;"",IF(D16="Validated by Finance","Validated by Finance","Your entry (not validated)"),"Default (sample)")))</f>
        <v/>
      </c>
      <c r="K16" s="26" t="inlineStr"/>
      <c r="L16" s="26" t="inlineStr">
        <is>
          <t>Estimate of fully loaded salary</t>
        </is>
      </c>
    </row>
    <row r="17">
      <c r="A17" s="26" t="inlineStr">
        <is>
          <t>load_rate</t>
        </is>
      </c>
      <c r="B17" s="8" t="inlineStr">
        <is>
          <t>Benefits and payroll tax load</t>
        </is>
      </c>
      <c r="C17" s="30">
        <f>IF('1) Data Entry'!E23="","",'1) Data Entry'!E23)</f>
        <v/>
      </c>
      <c r="D17" s="25">
        <f>IF('1) Data Entry'!F23="","",'1) Data Entry'!F23)</f>
        <v/>
      </c>
      <c r="E17" s="44" t="inlineStr"/>
      <c r="F17" s="26" t="inlineStr">
        <is>
          <t>No estimate: enter a value or use the default</t>
        </is>
      </c>
      <c r="G17" s="44" t="n">
        <v>0.23</v>
      </c>
      <c r="H17" s="26" t="inlineStr">
        <is>
          <t>As-is model sample (illustrative)</t>
        </is>
      </c>
      <c r="I17" s="31">
        <f>IF(AND(D17="Use our estimate",E17&lt;&gt;""),E17,IF(C17&lt;&gt;"",C17,G17))</f>
        <v/>
      </c>
      <c r="J17" s="42">
        <f>IF(I17="","Not provided (optional)",IF(AND(D17="Use our estimate",E17&lt;&gt;""),"Our estimate",IF(C17&lt;&gt;"",IF(D17="Validated by Finance","Validated by Finance","Your entry (not validated)"),"Default (sample)")))</f>
        <v/>
      </c>
      <c r="K17" s="26" t="inlineStr"/>
      <c r="L17" s="26" t="inlineStr">
        <is>
          <t>Estimate of fully loaded salary</t>
        </is>
      </c>
    </row>
    <row r="18">
      <c r="A18" s="26" t="inlineStr">
        <is>
          <t>loaded_salary</t>
        </is>
      </c>
      <c r="B18" s="8" t="inlineStr">
        <is>
          <t>Fully loaded salary per salesperson</t>
        </is>
      </c>
      <c r="C18" s="32">
        <f>IF('1) Data Entry'!E24="","",'1) Data Entry'!E24)</f>
        <v/>
      </c>
      <c r="D18" s="25">
        <f>IF('1) Data Entry'!F24="","",'1) Data Entry'!F24)</f>
        <v/>
      </c>
      <c r="E18" s="41">
        <f>IFERROR(IF(OR(v_base_salary="",v_load_rate=""),"",v_base_salary*(1+v_load_rate)),"")</f>
        <v/>
      </c>
      <c r="F18" s="8" t="inlineStr">
        <is>
          <t>Base salary × (1 + load)</t>
        </is>
      </c>
      <c r="G18" s="41">
        <f>E18</f>
        <v/>
      </c>
      <c r="H18" s="26" t="inlineStr">
        <is>
          <t>Our estimate</t>
        </is>
      </c>
      <c r="I18" s="24">
        <f>IF(AND(D18="Use our estimate",E18&lt;&gt;""),E18,IF(C18&lt;&gt;"",C18,G18))</f>
        <v/>
      </c>
      <c r="J18" s="42">
        <f>IF(I18="","Not provided (optional)",IF(AND(D18="Use our estimate",E18&lt;&gt;""),"Our estimate",IF(C18&lt;&gt;"",IF(D18="Validated by Finance","Validated by Finance","Your entry (not validated)"),"Our estimate")))</f>
        <v/>
      </c>
      <c r="K18" s="26" t="inlineStr">
        <is>
          <t>Payroll for quota-carrying salespeople ÷ salespeople differs</t>
        </is>
      </c>
      <c r="L18" s="26" t="inlineStr">
        <is>
          <t>Income statement: salesperson pay</t>
        </is>
      </c>
    </row>
    <row r="19">
      <c r="A19" s="26" t="inlineStr">
        <is>
          <t>trip_fare</t>
        </is>
      </c>
      <c r="B19" s="8" t="inlineStr">
        <is>
          <t>Travel per trip: air, train, mileage</t>
        </is>
      </c>
      <c r="C19" s="32">
        <f>IF('1) Data Entry'!E25="","",'1) Data Entry'!E25)</f>
        <v/>
      </c>
      <c r="D19" s="25">
        <f>IF('1) Data Entry'!F25="","",'1) Data Entry'!F25)</f>
        <v/>
      </c>
      <c r="E19" s="41" t="inlineStr"/>
      <c r="F19" s="26" t="inlineStr">
        <is>
          <t>No estimate: enter a value or use the default</t>
        </is>
      </c>
      <c r="G19" s="41" t="n">
        <v>750</v>
      </c>
      <c r="H19" s="26" t="inlineStr">
        <is>
          <t>As-is model sample (illustrative)</t>
        </is>
      </c>
      <c r="I19" s="24">
        <f>IF(AND(D19="Use our estimate",E19&lt;&gt;""),E19,IF(C19&lt;&gt;"",C19,G19))</f>
        <v/>
      </c>
      <c r="J19" s="42">
        <f>IF(I19="","Not provided (optional)",IF(AND(D19="Use our estimate",E19&lt;&gt;""),"Our estimate",IF(C19&lt;&gt;"",IF(D19="Validated by Finance","Validated by Finance","Your entry (not validated)"),"Default (sample)")))</f>
        <v/>
      </c>
      <c r="K19" s="26" t="inlineStr"/>
      <c r="L19" s="26" t="inlineStr">
        <is>
          <t>Estimate of travel per salesperson</t>
        </is>
      </c>
    </row>
    <row r="20">
      <c r="A20" s="26" t="inlineStr">
        <is>
          <t>trip_ground</t>
        </is>
      </c>
      <c r="B20" s="8" t="inlineStr">
        <is>
          <t>Travel per trip: cabs, tolls, rental</t>
        </is>
      </c>
      <c r="C20" s="32">
        <f>IF('1) Data Entry'!E26="","",'1) Data Entry'!E26)</f>
        <v/>
      </c>
      <c r="D20" s="25">
        <f>IF('1) Data Entry'!F26="","",'1) Data Entry'!F26)</f>
        <v/>
      </c>
      <c r="E20" s="41" t="inlineStr"/>
      <c r="F20" s="26" t="inlineStr">
        <is>
          <t>No estimate: enter a value or use the default</t>
        </is>
      </c>
      <c r="G20" s="41" t="n">
        <v>200</v>
      </c>
      <c r="H20" s="26" t="inlineStr">
        <is>
          <t>As-is model sample (illustrative)</t>
        </is>
      </c>
      <c r="I20" s="24">
        <f>IF(AND(D20="Use our estimate",E20&lt;&gt;""),E20,IF(C20&lt;&gt;"",C20,G20))</f>
        <v/>
      </c>
      <c r="J20" s="42">
        <f>IF(I20="","Not provided (optional)",IF(AND(D20="Use our estimate",E20&lt;&gt;""),"Our estimate",IF(C20&lt;&gt;"",IF(D20="Validated by Finance","Validated by Finance","Your entry (not validated)"),"Default (sample)")))</f>
        <v/>
      </c>
      <c r="K20" s="26" t="inlineStr"/>
      <c r="L20" s="26" t="inlineStr">
        <is>
          <t>Estimate of travel per salesperson</t>
        </is>
      </c>
    </row>
    <row r="21">
      <c r="A21" s="26" t="inlineStr">
        <is>
          <t>trip_meals</t>
        </is>
      </c>
      <c r="B21" s="8" t="inlineStr">
        <is>
          <t>Meals per day</t>
        </is>
      </c>
      <c r="C21" s="32">
        <f>IF('1) Data Entry'!E27="","",'1) Data Entry'!E27)</f>
        <v/>
      </c>
      <c r="D21" s="25">
        <f>IF('1) Data Entry'!F27="","",'1) Data Entry'!F27)</f>
        <v/>
      </c>
      <c r="E21" s="41" t="inlineStr"/>
      <c r="F21" s="26" t="inlineStr">
        <is>
          <t>No estimate: enter a value or use the default</t>
        </is>
      </c>
      <c r="G21" s="41" t="n">
        <v>100</v>
      </c>
      <c r="H21" s="26" t="inlineStr">
        <is>
          <t>As-is model sample (illustrative)</t>
        </is>
      </c>
      <c r="I21" s="24">
        <f>IF(AND(D21="Use our estimate",E21&lt;&gt;""),E21,IF(C21&lt;&gt;"",C21,G21))</f>
        <v/>
      </c>
      <c r="J21" s="42">
        <f>IF(I21="","Not provided (optional)",IF(AND(D21="Use our estimate",E21&lt;&gt;""),"Our estimate",IF(C21&lt;&gt;"",IF(D21="Validated by Finance","Validated by Finance","Your entry (not validated)"),"Default (sample)")))</f>
        <v/>
      </c>
      <c r="K21" s="26" t="inlineStr"/>
      <c r="L21" s="26" t="inlineStr">
        <is>
          <t>Estimate of travel per salesperson</t>
        </is>
      </c>
    </row>
    <row r="22">
      <c r="A22" s="26" t="inlineStr">
        <is>
          <t>trip_lodging</t>
        </is>
      </c>
      <c r="B22" s="8" t="inlineStr">
        <is>
          <t>Lodging per night</t>
        </is>
      </c>
      <c r="C22" s="32">
        <f>IF('1) Data Entry'!E28="","",'1) Data Entry'!E28)</f>
        <v/>
      </c>
      <c r="D22" s="25">
        <f>IF('1) Data Entry'!F28="","",'1) Data Entry'!F28)</f>
        <v/>
      </c>
      <c r="E22" s="41" t="inlineStr"/>
      <c r="F22" s="26" t="inlineStr">
        <is>
          <t>No estimate: enter a value or use the default</t>
        </is>
      </c>
      <c r="G22" s="41" t="n">
        <v>250</v>
      </c>
      <c r="H22" s="26" t="inlineStr">
        <is>
          <t>As-is model sample (illustrative)</t>
        </is>
      </c>
      <c r="I22" s="24">
        <f>IF(AND(D22="Use our estimate",E22&lt;&gt;""),E22,IF(C22&lt;&gt;"",C22,G22))</f>
        <v/>
      </c>
      <c r="J22" s="42">
        <f>IF(I22="","Not provided (optional)",IF(AND(D22="Use our estimate",E22&lt;&gt;""),"Our estimate",IF(C22&lt;&gt;"",IF(D22="Validated by Finance","Validated by Finance","Your entry (not validated)"),"Default (sample)")))</f>
        <v/>
      </c>
      <c r="K22" s="26" t="inlineStr"/>
      <c r="L22" s="26" t="inlineStr">
        <is>
          <t>Estimate of travel per salesperson</t>
        </is>
      </c>
    </row>
    <row r="23">
      <c r="A23" s="26" t="inlineStr">
        <is>
          <t>trip_days</t>
        </is>
      </c>
      <c r="B23" s="8" t="inlineStr">
        <is>
          <t>Days per trip</t>
        </is>
      </c>
      <c r="C23" s="33">
        <f>IF('1) Data Entry'!E29="","",'1) Data Entry'!E29)</f>
        <v/>
      </c>
      <c r="D23" s="25">
        <f>IF('1) Data Entry'!F29="","",'1) Data Entry'!F29)</f>
        <v/>
      </c>
      <c r="E23" s="43" t="inlineStr"/>
      <c r="F23" s="26" t="inlineStr">
        <is>
          <t>No estimate: enter a value or use the default</t>
        </is>
      </c>
      <c r="G23" s="43" t="n">
        <v>2</v>
      </c>
      <c r="H23" s="26" t="inlineStr">
        <is>
          <t>As-is model sample (illustrative)</t>
        </is>
      </c>
      <c r="I23" s="28">
        <f>IF(AND(D23="Use our estimate",E23&lt;&gt;""),E23,IF(C23&lt;&gt;"",C23,G23))</f>
        <v/>
      </c>
      <c r="J23" s="42">
        <f>IF(I23="","Not provided (optional)",IF(AND(D23="Use our estimate",E23&lt;&gt;""),"Our estimate",IF(C23&lt;&gt;"",IF(D23="Validated by Finance","Validated by Finance","Your entry (not validated)"),"Default (sample)")))</f>
        <v/>
      </c>
      <c r="K23" s="26" t="inlineStr"/>
      <c r="L23" s="26" t="inlineStr">
        <is>
          <t>Estimate of travel per salesperson</t>
        </is>
      </c>
    </row>
    <row r="24">
      <c r="A24" s="26" t="inlineStr">
        <is>
          <t>trip_entertainment</t>
        </is>
      </c>
      <c r="B24" s="8" t="inlineStr">
        <is>
          <t>Entertainment per trip</t>
        </is>
      </c>
      <c r="C24" s="32">
        <f>IF('1) Data Entry'!E30="","",'1) Data Entry'!E30)</f>
        <v/>
      </c>
      <c r="D24" s="25">
        <f>IF('1) Data Entry'!F30="","",'1) Data Entry'!F30)</f>
        <v/>
      </c>
      <c r="E24" s="41" t="inlineStr"/>
      <c r="F24" s="26" t="inlineStr">
        <is>
          <t>No estimate: enter a value or use the default</t>
        </is>
      </c>
      <c r="G24" s="41" t="n">
        <v>250</v>
      </c>
      <c r="H24" s="26" t="inlineStr">
        <is>
          <t>As-is model sample (illustrative)</t>
        </is>
      </c>
      <c r="I24" s="24">
        <f>IF(AND(D24="Use our estimate",E24&lt;&gt;""),E24,IF(C24&lt;&gt;"",C24,G24))</f>
        <v/>
      </c>
      <c r="J24" s="42">
        <f>IF(I24="","Not provided (optional)",IF(AND(D24="Use our estimate",E24&lt;&gt;""),"Our estimate",IF(C24&lt;&gt;"",IF(D24="Validated by Finance","Validated by Finance","Your entry (not validated)"),"Default (sample)")))</f>
        <v/>
      </c>
      <c r="K24" s="26" t="inlineStr"/>
      <c r="L24" s="26" t="inlineStr">
        <is>
          <t>Estimate of travel per salesperson</t>
        </is>
      </c>
    </row>
    <row r="25">
      <c r="A25" s="26" t="inlineStr">
        <is>
          <t>trips_per_year</t>
        </is>
      </c>
      <c r="B25" s="8" t="inlineStr">
        <is>
          <t>Trips per year</t>
        </is>
      </c>
      <c r="C25" s="33">
        <f>IF('1) Data Entry'!E31="","",'1) Data Entry'!E31)</f>
        <v/>
      </c>
      <c r="D25" s="25">
        <f>IF('1) Data Entry'!F31="","",'1) Data Entry'!F31)</f>
        <v/>
      </c>
      <c r="E25" s="43" t="inlineStr"/>
      <c r="F25" s="26" t="inlineStr">
        <is>
          <t>No estimate: enter a value or use the default</t>
        </is>
      </c>
      <c r="G25" s="43" t="n">
        <v>25</v>
      </c>
      <c r="H25" s="26" t="inlineStr">
        <is>
          <t>As-is model sample (illustrative)</t>
        </is>
      </c>
      <c r="I25" s="28">
        <f>IF(AND(D25="Use our estimate",E25&lt;&gt;""),E25,IF(C25&lt;&gt;"",C25,G25))</f>
        <v/>
      </c>
      <c r="J25" s="42">
        <f>IF(I25="","Not provided (optional)",IF(AND(D25="Use our estimate",E25&lt;&gt;""),"Our estimate",IF(C25&lt;&gt;"",IF(D25="Validated by Finance","Validated by Finance","Your entry (not validated)"),"Default (sample)")))</f>
        <v/>
      </c>
      <c r="K25" s="26" t="inlineStr"/>
      <c r="L25" s="26" t="inlineStr">
        <is>
          <t>Estimate of travel per salesperson</t>
        </is>
      </c>
    </row>
    <row r="26">
      <c r="A26" s="26" t="inlineStr">
        <is>
          <t>travel_per_salesperson</t>
        </is>
      </c>
      <c r="B26" s="8" t="inlineStr">
        <is>
          <t>Travel cost per salesperson</t>
        </is>
      </c>
      <c r="C26" s="32">
        <f>IF('1) Data Entry'!E32="","",'1) Data Entry'!E32)</f>
        <v/>
      </c>
      <c r="D26" s="25">
        <f>IF('1) Data Entry'!F32="","",'1) Data Entry'!F32)</f>
        <v/>
      </c>
      <c r="E26" s="41">
        <f>IFERROR(IF(OR(v_trip_days="",v_trip_entertainment="",v_trip_fare="",v_trip_ground="",v_trip_lodging="",v_trip_meals="",v_trips_per_year=""),"",((v_trip_fare+v_trip_ground+v_trip_entertainment)+v_trip_days*(v_trip_meals+v_trip_lodging))*v_trips_per_year),"")</f>
        <v/>
      </c>
      <c r="F26" s="8" t="inlineStr">
        <is>
          <t>(fare + ground + entertainment + days × (meals + lodging)) × trips per year</t>
        </is>
      </c>
      <c r="G26" s="41">
        <f>E26</f>
        <v/>
      </c>
      <c r="H26" s="26" t="inlineStr">
        <is>
          <t>Our estimate</t>
        </is>
      </c>
      <c r="I26" s="24">
        <f>IF(AND(D26="Use our estimate",E26&lt;&gt;""),E26,IF(C26&lt;&gt;"",C26,G26))</f>
        <v/>
      </c>
      <c r="J26" s="42">
        <f>IF(I26="","Not provided (optional)",IF(AND(D26="Use our estimate",E26&lt;&gt;""),"Our estimate",IF(C26&lt;&gt;"",IF(D26="Validated by Finance","Validated by Finance","Your entry (not validated)"),"Our estimate")))</f>
        <v/>
      </c>
      <c r="K26" s="26" t="inlineStr">
        <is>
          <t>Travel ledger for quota salespeople differs</t>
        </is>
      </c>
      <c r="L26" s="26" t="inlineStr">
        <is>
          <t>Income statement: salesperson travel</t>
        </is>
      </c>
    </row>
    <row r="27">
      <c r="A27" s="26" t="inlineStr">
        <is>
          <t>commissions_paid</t>
        </is>
      </c>
      <c r="B27" s="8" t="inlineStr">
        <is>
          <t>Commissions paid ($), optional</t>
        </is>
      </c>
      <c r="C27" s="32">
        <f>IF('1) Data Entry'!E33="","",'1) Data Entry'!E33)</f>
        <v/>
      </c>
      <c r="D27" s="25">
        <f>IF('1) Data Entry'!F33="","",'1) Data Entry'!F33)</f>
        <v/>
      </c>
      <c r="E27" s="41" t="inlineStr"/>
      <c r="F27" s="26" t="inlineStr">
        <is>
          <t>No estimate: enter a value or use the default</t>
        </is>
      </c>
      <c r="G27" s="42">
        <f>""</f>
        <v/>
      </c>
      <c r="H27" s="26" t="inlineStr">
        <is>
          <t>Optional; no default</t>
        </is>
      </c>
      <c r="I27" s="24">
        <f>IF(AND(D27="Use our estimate",E27&lt;&gt;""),E27,IF(C27&lt;&gt;"",C27,G27))</f>
        <v/>
      </c>
      <c r="J27" s="42">
        <f>IF(I27="","Not provided (optional)",IF(AND(D27="Use our estimate",E27&lt;&gt;""),"Our estimate",IF(C27&lt;&gt;"",IF(D27="Validated by Finance","Validated by Finance","Your entry (not validated)"),"Default (sample)")))</f>
        <v/>
      </c>
      <c r="K27" s="26" t="inlineStr"/>
      <c r="L27" s="26" t="inlineStr">
        <is>
          <t>Estimate and check of commission rate</t>
        </is>
      </c>
    </row>
    <row r="28">
      <c r="A28" s="26" t="inlineStr">
        <is>
          <t>commission_rate</t>
        </is>
      </c>
      <c r="B28" s="8" t="inlineStr">
        <is>
          <t>Commission rate</t>
        </is>
      </c>
      <c r="C28" s="30">
        <f>IF('1) Data Entry'!E34="","",'1) Data Entry'!E34)</f>
        <v/>
      </c>
      <c r="D28" s="25">
        <f>IF('1) Data Entry'!F34="","",'1) Data Entry'!F34)</f>
        <v/>
      </c>
      <c r="E28" s="44">
        <f>IFERROR(IF(OR(v_commissions_paid="",v_revenue=""),"",v_commissions_paid/v_revenue),"")</f>
        <v/>
      </c>
      <c r="F28" s="8" t="inlineStr">
        <is>
          <t>Commissions paid ÷ revenue</t>
        </is>
      </c>
      <c r="G28" s="44" t="n">
        <v>0.08</v>
      </c>
      <c r="H28" s="26" t="inlineStr">
        <is>
          <t>As-is model sample (illustrative)</t>
        </is>
      </c>
      <c r="I28" s="31">
        <f>IF(AND(D28="Use our estimate",E28&lt;&gt;""),E28,IF(C28&lt;&gt;"",C28,G28))</f>
        <v/>
      </c>
      <c r="J28" s="42">
        <f>IF(I28="","Not provided (optional)",IF(AND(D28="Use our estimate",E28&lt;&gt;""),"Our estimate",IF(C28&lt;&gt;"",IF(D28="Validated by Finance","Validated by Finance","Your entry (not validated)"),"Default (sample)")))</f>
        <v/>
      </c>
      <c r="K28" s="26" t="inlineStr">
        <is>
          <t>Commissions paid ÷ revenue differs from the plan rate (commission check)</t>
        </is>
      </c>
      <c r="L28" s="26" t="inlineStr">
        <is>
          <t>Income statement: commissions</t>
        </is>
      </c>
    </row>
    <row r="29">
      <c r="A29" s="26" t="inlineStr">
        <is>
          <t>oh_managers</t>
        </is>
      </c>
      <c r="B29" s="8" t="inlineStr">
        <is>
          <t>Non-quota sales manager salaries</t>
        </is>
      </c>
      <c r="C29" s="32">
        <f>IF('1) Data Entry'!E35="","",'1) Data Entry'!E35)</f>
        <v/>
      </c>
      <c r="D29" s="25">
        <f>IF('1) Data Entry'!F35="","",'1) Data Entry'!F35)</f>
        <v/>
      </c>
      <c r="E29" s="41" t="inlineStr"/>
      <c r="F29" s="26" t="inlineStr">
        <is>
          <t>No estimate: enter a value or use the default</t>
        </is>
      </c>
      <c r="G29" s="41" t="n">
        <v>2750000</v>
      </c>
      <c r="H29" s="26" t="inlineStr">
        <is>
          <t>As-is model sample (illustrative)</t>
        </is>
      </c>
      <c r="I29" s="24">
        <f>IF(AND(D29="Use our estimate",E29&lt;&gt;""),E29,IF(C29&lt;&gt;"",C29,G29))</f>
        <v/>
      </c>
      <c r="J29" s="42">
        <f>IF(I29="","Not provided (optional)",IF(AND(D29="Use our estimate",E29&lt;&gt;""),"Our estimate",IF(C29&lt;&gt;"",IF(D29="Validated by Finance","Validated by Finance","Your entry (not validated)"),"Default (sample)")))</f>
        <v/>
      </c>
      <c r="K29" s="26" t="inlineStr"/>
      <c r="L29" s="26" t="inlineStr">
        <is>
          <t>Estimate of sales overhead</t>
        </is>
      </c>
    </row>
    <row r="30">
      <c r="A30" s="26" t="inlineStr">
        <is>
          <t>oh_engineers</t>
        </is>
      </c>
      <c r="B30" s="8" t="inlineStr">
        <is>
          <t>Sales engineers and other non-quota support</t>
        </is>
      </c>
      <c r="C30" s="32">
        <f>IF('1) Data Entry'!E36="","",'1) Data Entry'!E36)</f>
        <v/>
      </c>
      <c r="D30" s="25">
        <f>IF('1) Data Entry'!F36="","",'1) Data Entry'!F36)</f>
        <v/>
      </c>
      <c r="E30" s="41" t="inlineStr"/>
      <c r="F30" s="26" t="inlineStr">
        <is>
          <t>No estimate: enter a value or use the default</t>
        </is>
      </c>
      <c r="G30" s="41" t="n">
        <v>6000000</v>
      </c>
      <c r="H30" s="26" t="inlineStr">
        <is>
          <t>As-is model sample (illustrative)</t>
        </is>
      </c>
      <c r="I30" s="24">
        <f>IF(AND(D30="Use our estimate",E30&lt;&gt;""),E30,IF(C30&lt;&gt;"",C30,G30))</f>
        <v/>
      </c>
      <c r="J30" s="42">
        <f>IF(I30="","Not provided (optional)",IF(AND(D30="Use our estimate",E30&lt;&gt;""),"Our estimate",IF(C30&lt;&gt;"",IF(D30="Validated by Finance","Validated by Finance","Your entry (not validated)"),"Default (sample)")))</f>
        <v/>
      </c>
      <c r="K30" s="26" t="inlineStr"/>
      <c r="L30" s="26" t="inlineStr">
        <is>
          <t>Estimate of sales overhead</t>
        </is>
      </c>
    </row>
    <row r="31">
      <c r="A31" s="26" t="inlineStr">
        <is>
          <t>oh_admin</t>
        </is>
      </c>
      <c r="B31" s="8" t="inlineStr">
        <is>
          <t>Sales operations and administration</t>
        </is>
      </c>
      <c r="C31" s="32">
        <f>IF('1) Data Entry'!E37="","",'1) Data Entry'!E37)</f>
        <v/>
      </c>
      <c r="D31" s="25">
        <f>IF('1) Data Entry'!F37="","",'1) Data Entry'!F37)</f>
        <v/>
      </c>
      <c r="E31" s="41" t="inlineStr"/>
      <c r="F31" s="26" t="inlineStr">
        <is>
          <t>No estimate: enter a value or use the default</t>
        </is>
      </c>
      <c r="G31" s="41" t="n">
        <v>800000</v>
      </c>
      <c r="H31" s="26" t="inlineStr">
        <is>
          <t>As-is model sample (illustrative)</t>
        </is>
      </c>
      <c r="I31" s="24">
        <f>IF(AND(D31="Use our estimate",E31&lt;&gt;""),E31,IF(C31&lt;&gt;"",C31,G31))</f>
        <v/>
      </c>
      <c r="J31" s="42">
        <f>IF(I31="","Not provided (optional)",IF(AND(D31="Use our estimate",E31&lt;&gt;""),"Our estimate",IF(C31&lt;&gt;"",IF(D31="Validated by Finance","Validated by Finance","Your entry (not validated)"),"Default (sample)")))</f>
        <v/>
      </c>
      <c r="K31" s="26" t="inlineStr"/>
      <c r="L31" s="26" t="inlineStr">
        <is>
          <t>Estimate of sales overhead</t>
        </is>
      </c>
    </row>
    <row r="32">
      <c r="A32" s="26" t="inlineStr">
        <is>
          <t>oh_training</t>
        </is>
      </c>
      <c r="B32" s="8" t="inlineStr">
        <is>
          <t>Training</t>
        </is>
      </c>
      <c r="C32" s="32">
        <f>IF('1) Data Entry'!E38="","",'1) Data Entry'!E38)</f>
        <v/>
      </c>
      <c r="D32" s="25">
        <f>IF('1) Data Entry'!F38="","",'1) Data Entry'!F38)</f>
        <v/>
      </c>
      <c r="E32" s="41" t="inlineStr"/>
      <c r="F32" s="26" t="inlineStr">
        <is>
          <t>No estimate: enter a value or use the default</t>
        </is>
      </c>
      <c r="G32" s="41" t="n">
        <v>500000</v>
      </c>
      <c r="H32" s="26" t="inlineStr">
        <is>
          <t>As-is model sample (illustrative)</t>
        </is>
      </c>
      <c r="I32" s="24">
        <f>IF(AND(D32="Use our estimate",E32&lt;&gt;""),E32,IF(C32&lt;&gt;"",C32,G32))</f>
        <v/>
      </c>
      <c r="J32" s="42">
        <f>IF(I32="","Not provided (optional)",IF(AND(D32="Use our estimate",E32&lt;&gt;""),"Our estimate",IF(C32&lt;&gt;"",IF(D32="Validated by Finance","Validated by Finance","Your entry (not validated)"),"Default (sample)")))</f>
        <v/>
      </c>
      <c r="K32" s="26" t="inlineStr"/>
      <c r="L32" s="26" t="inlineStr">
        <is>
          <t>Estimate of sales overhead</t>
        </is>
      </c>
    </row>
    <row r="33">
      <c r="A33" s="26" t="inlineStr">
        <is>
          <t>oh_incentives</t>
        </is>
      </c>
      <c r="B33" s="8" t="inlineStr">
        <is>
          <t>Non-quota incentives</t>
        </is>
      </c>
      <c r="C33" s="32">
        <f>IF('1) Data Entry'!E39="","",'1) Data Entry'!E39)</f>
        <v/>
      </c>
      <c r="D33" s="25">
        <f>IF('1) Data Entry'!F39="","",'1) Data Entry'!F39)</f>
        <v/>
      </c>
      <c r="E33" s="41" t="inlineStr"/>
      <c r="F33" s="26" t="inlineStr">
        <is>
          <t>No estimate: enter a value or use the default</t>
        </is>
      </c>
      <c r="G33" s="41" t="n">
        <v>750000</v>
      </c>
      <c r="H33" s="26" t="inlineStr">
        <is>
          <t>As-is model sample (illustrative)</t>
        </is>
      </c>
      <c r="I33" s="24">
        <f>IF(AND(D33="Use our estimate",E33&lt;&gt;""),E33,IF(C33&lt;&gt;"",C33,G33))</f>
        <v/>
      </c>
      <c r="J33" s="42">
        <f>IF(I33="","Not provided (optional)",IF(AND(D33="Use our estimate",E33&lt;&gt;""),"Our estimate",IF(C33&lt;&gt;"",IF(D33="Validated by Finance","Validated by Finance","Your entry (not validated)"),"Default (sample)")))</f>
        <v/>
      </c>
      <c r="K33" s="26" t="inlineStr"/>
      <c r="L33" s="26" t="inlineStr">
        <is>
          <t>Estimate of sales overhead</t>
        </is>
      </c>
    </row>
    <row r="34">
      <c r="A34" s="26" t="inlineStr">
        <is>
          <t>sales_overhead</t>
        </is>
      </c>
      <c r="B34" s="8" t="inlineStr">
        <is>
          <t>Sales overhead (total)</t>
        </is>
      </c>
      <c r="C34" s="32">
        <f>IF('1) Data Entry'!E40="","",'1) Data Entry'!E40)</f>
        <v/>
      </c>
      <c r="D34" s="25">
        <f>IF('1) Data Entry'!F40="","",'1) Data Entry'!F40)</f>
        <v/>
      </c>
      <c r="E34" s="41">
        <f>IFERROR(IF(OR(v_oh_admin="",v_oh_engineers="",v_oh_incentives="",v_oh_managers="",v_oh_training=""),"",v_oh_managers+v_oh_engineers+v_oh_admin+v_oh_training+v_oh_incentives),"")</f>
        <v/>
      </c>
      <c r="F34" s="8" t="inlineStr">
        <is>
          <t>Sum of the five lines above</t>
        </is>
      </c>
      <c r="G34" s="41">
        <f>E34</f>
        <v/>
      </c>
      <c r="H34" s="26" t="inlineStr">
        <is>
          <t>Our estimate</t>
        </is>
      </c>
      <c r="I34" s="24">
        <f>IF(AND(D34="Use our estimate",E34&lt;&gt;""),E34,IF(C34&lt;&gt;"",C34,G34))</f>
        <v/>
      </c>
      <c r="J34" s="42">
        <f>IF(I34="","Not provided (optional)",IF(AND(D34="Use our estimate",E34&lt;&gt;""),"Our estimate",IF(C34&lt;&gt;"",IF(D34="Validated by Finance","Validated by Finance","Your entry (not validated)"),"Our estimate")))</f>
        <v/>
      </c>
      <c r="K34" s="26" t="inlineStr">
        <is>
          <t>Ledger total for sales overhead differs</t>
        </is>
      </c>
      <c r="L34" s="26" t="inlineStr">
        <is>
          <t>Income statement: sales overhead</t>
        </is>
      </c>
    </row>
    <row r="35">
      <c r="A35" s="26" t="inlineStr">
        <is>
          <t>mk_people</t>
        </is>
      </c>
      <c r="B35" s="8" t="inlineStr">
        <is>
          <t>Marketing personnel</t>
        </is>
      </c>
      <c r="C35" s="32">
        <f>IF('1) Data Entry'!E41="","",'1) Data Entry'!E41)</f>
        <v/>
      </c>
      <c r="D35" s="25">
        <f>IF('1) Data Entry'!F41="","",'1) Data Entry'!F41)</f>
        <v/>
      </c>
      <c r="E35" s="41" t="inlineStr"/>
      <c r="F35" s="26" t="inlineStr">
        <is>
          <t>No estimate: enter a value or use the default</t>
        </is>
      </c>
      <c r="G35" s="41" t="n">
        <v>1000000</v>
      </c>
      <c r="H35" s="26" t="inlineStr">
        <is>
          <t>As-is model sample (illustrative)</t>
        </is>
      </c>
      <c r="I35" s="24">
        <f>IF(AND(D35="Use our estimate",E35&lt;&gt;""),E35,IF(C35&lt;&gt;"",C35,G35))</f>
        <v/>
      </c>
      <c r="J35" s="42">
        <f>IF(I35="","Not provided (optional)",IF(AND(D35="Use our estimate",E35&lt;&gt;""),"Our estimate",IF(C35&lt;&gt;"",IF(D35="Validated by Finance","Validated by Finance","Your entry (not validated)"),"Default (sample)")))</f>
        <v/>
      </c>
      <c r="K35" s="26" t="inlineStr"/>
      <c r="L35" s="26" t="inlineStr">
        <is>
          <t>Estimate of marketing</t>
        </is>
      </c>
    </row>
    <row r="36">
      <c r="A36" s="26" t="inlineStr">
        <is>
          <t>mk_web</t>
        </is>
      </c>
      <c r="B36" s="8" t="inlineStr">
        <is>
          <t>Website</t>
        </is>
      </c>
      <c r="C36" s="32">
        <f>IF('1) Data Entry'!E42="","",'1) Data Entry'!E42)</f>
        <v/>
      </c>
      <c r="D36" s="25">
        <f>IF('1) Data Entry'!F42="","",'1) Data Entry'!F42)</f>
        <v/>
      </c>
      <c r="E36" s="41" t="inlineStr"/>
      <c r="F36" s="26" t="inlineStr">
        <is>
          <t>No estimate: enter a value or use the default</t>
        </is>
      </c>
      <c r="G36" s="41" t="n">
        <v>250000</v>
      </c>
      <c r="H36" s="26" t="inlineStr">
        <is>
          <t>As-is model sample (illustrative)</t>
        </is>
      </c>
      <c r="I36" s="24">
        <f>IF(AND(D36="Use our estimate",E36&lt;&gt;""),E36,IF(C36&lt;&gt;"",C36,G36))</f>
        <v/>
      </c>
      <c r="J36" s="42">
        <f>IF(I36="","Not provided (optional)",IF(AND(D36="Use our estimate",E36&lt;&gt;""),"Our estimate",IF(C36&lt;&gt;"",IF(D36="Validated by Finance","Validated by Finance","Your entry (not validated)"),"Default (sample)")))</f>
        <v/>
      </c>
      <c r="K36" s="26" t="inlineStr"/>
      <c r="L36" s="26" t="inlineStr">
        <is>
          <t>Estimate of marketing</t>
        </is>
      </c>
    </row>
    <row r="37">
      <c r="A37" s="26" t="inlineStr">
        <is>
          <t>mk_events</t>
        </is>
      </c>
      <c r="B37" s="8" t="inlineStr">
        <is>
          <t>Events</t>
        </is>
      </c>
      <c r="C37" s="32">
        <f>IF('1) Data Entry'!E43="","",'1) Data Entry'!E43)</f>
        <v/>
      </c>
      <c r="D37" s="25">
        <f>IF('1) Data Entry'!F43="","",'1) Data Entry'!F43)</f>
        <v/>
      </c>
      <c r="E37" s="41" t="inlineStr"/>
      <c r="F37" s="26" t="inlineStr">
        <is>
          <t>No estimate: enter a value or use the default</t>
        </is>
      </c>
      <c r="G37" s="41" t="n">
        <v>500000</v>
      </c>
      <c r="H37" s="26" t="inlineStr">
        <is>
          <t>As-is model sample (illustrative)</t>
        </is>
      </c>
      <c r="I37" s="24">
        <f>IF(AND(D37="Use our estimate",E37&lt;&gt;""),E37,IF(C37&lt;&gt;"",C37,G37))</f>
        <v/>
      </c>
      <c r="J37" s="42">
        <f>IF(I37="","Not provided (optional)",IF(AND(D37="Use our estimate",E37&lt;&gt;""),"Our estimate",IF(C37&lt;&gt;"",IF(D37="Validated by Finance","Validated by Finance","Your entry (not validated)"),"Default (sample)")))</f>
        <v/>
      </c>
      <c r="K37" s="26" t="inlineStr"/>
      <c r="L37" s="26" t="inlineStr">
        <is>
          <t>Estimate of marketing</t>
        </is>
      </c>
    </row>
    <row r="38">
      <c r="A38" s="26" t="inlineStr">
        <is>
          <t>mk_ads</t>
        </is>
      </c>
      <c r="B38" s="8" t="inlineStr">
        <is>
          <t>Advertising</t>
        </is>
      </c>
      <c r="C38" s="32">
        <f>IF('1) Data Entry'!E44="","",'1) Data Entry'!E44)</f>
        <v/>
      </c>
      <c r="D38" s="25">
        <f>IF('1) Data Entry'!F44="","",'1) Data Entry'!F44)</f>
        <v/>
      </c>
      <c r="E38" s="41" t="inlineStr"/>
      <c r="F38" s="26" t="inlineStr">
        <is>
          <t>No estimate: enter a value or use the default</t>
        </is>
      </c>
      <c r="G38" s="41" t="n">
        <v>500000</v>
      </c>
      <c r="H38" s="26" t="inlineStr">
        <is>
          <t>As-is model sample (illustrative)</t>
        </is>
      </c>
      <c r="I38" s="24">
        <f>IF(AND(D38="Use our estimate",E38&lt;&gt;""),E38,IF(C38&lt;&gt;"",C38,G38))</f>
        <v/>
      </c>
      <c r="J38" s="42">
        <f>IF(I38="","Not provided (optional)",IF(AND(D38="Use our estimate",E38&lt;&gt;""),"Our estimate",IF(C38&lt;&gt;"",IF(D38="Validated by Finance","Validated by Finance","Your entry (not validated)"),"Default (sample)")))</f>
        <v/>
      </c>
      <c r="K38" s="26" t="inlineStr"/>
      <c r="L38" s="26" t="inlineStr">
        <is>
          <t>Estimate of marketing</t>
        </is>
      </c>
    </row>
    <row r="39">
      <c r="A39" s="26" t="inlineStr">
        <is>
          <t>mk_mail</t>
        </is>
      </c>
      <c r="B39" s="8" t="inlineStr">
        <is>
          <t>Direct mail</t>
        </is>
      </c>
      <c r="C39" s="32">
        <f>IF('1) Data Entry'!E45="","",'1) Data Entry'!E45)</f>
        <v/>
      </c>
      <c r="D39" s="25">
        <f>IF('1) Data Entry'!F45="","",'1) Data Entry'!F45)</f>
        <v/>
      </c>
      <c r="E39" s="41" t="inlineStr"/>
      <c r="F39" s="26" t="inlineStr">
        <is>
          <t>No estimate: enter a value or use the default</t>
        </is>
      </c>
      <c r="G39" s="41" t="n">
        <v>250000</v>
      </c>
      <c r="H39" s="26" t="inlineStr">
        <is>
          <t>As-is model sample (illustrative)</t>
        </is>
      </c>
      <c r="I39" s="24">
        <f>IF(AND(D39="Use our estimate",E39&lt;&gt;""),E39,IF(C39&lt;&gt;"",C39,G39))</f>
        <v/>
      </c>
      <c r="J39" s="42">
        <f>IF(I39="","Not provided (optional)",IF(AND(D39="Use our estimate",E39&lt;&gt;""),"Our estimate",IF(C39&lt;&gt;"",IF(D39="Validated by Finance","Validated by Finance","Your entry (not validated)"),"Default (sample)")))</f>
        <v/>
      </c>
      <c r="K39" s="26" t="inlineStr"/>
      <c r="L39" s="26" t="inlineStr">
        <is>
          <t>Estimate of marketing</t>
        </is>
      </c>
    </row>
    <row r="40">
      <c r="A40" s="26" t="inlineStr">
        <is>
          <t>mk_leadgen</t>
        </is>
      </c>
      <c r="B40" s="8" t="inlineStr">
        <is>
          <t>Lead generation programs</t>
        </is>
      </c>
      <c r="C40" s="32">
        <f>IF('1) Data Entry'!E46="","",'1) Data Entry'!E46)</f>
        <v/>
      </c>
      <c r="D40" s="25">
        <f>IF('1) Data Entry'!F46="","",'1) Data Entry'!F46)</f>
        <v/>
      </c>
      <c r="E40" s="41" t="inlineStr"/>
      <c r="F40" s="26" t="inlineStr">
        <is>
          <t>No estimate: enter a value or use the default</t>
        </is>
      </c>
      <c r="G40" s="41" t="n">
        <v>250000</v>
      </c>
      <c r="H40" s="26" t="inlineStr">
        <is>
          <t>As-is model sample (illustrative)</t>
        </is>
      </c>
      <c r="I40" s="24">
        <f>IF(AND(D40="Use our estimate",E40&lt;&gt;""),E40,IF(C40&lt;&gt;"",C40,G40))</f>
        <v/>
      </c>
      <c r="J40" s="42">
        <f>IF(I40="","Not provided (optional)",IF(AND(D40="Use our estimate",E40&lt;&gt;""),"Our estimate",IF(C40&lt;&gt;"",IF(D40="Validated by Finance","Validated by Finance","Your entry (not validated)"),"Default (sample)")))</f>
        <v/>
      </c>
      <c r="K40" s="26" t="inlineStr"/>
      <c r="L40" s="26" t="inlineStr">
        <is>
          <t>Estimate of marketing</t>
        </is>
      </c>
    </row>
    <row r="41">
      <c r="A41" s="26" t="inlineStr">
        <is>
          <t>mk_brand</t>
        </is>
      </c>
      <c r="B41" s="8" t="inlineStr">
        <is>
          <t>Branding and public relations</t>
        </is>
      </c>
      <c r="C41" s="32">
        <f>IF('1) Data Entry'!E47="","",'1) Data Entry'!E47)</f>
        <v/>
      </c>
      <c r="D41" s="25">
        <f>IF('1) Data Entry'!F47="","",'1) Data Entry'!F47)</f>
        <v/>
      </c>
      <c r="E41" s="41" t="inlineStr"/>
      <c r="F41" s="26" t="inlineStr">
        <is>
          <t>No estimate: enter a value or use the default</t>
        </is>
      </c>
      <c r="G41" s="41" t="n">
        <v>200000</v>
      </c>
      <c r="H41" s="26" t="inlineStr">
        <is>
          <t>As-is model sample (illustrative)</t>
        </is>
      </c>
      <c r="I41" s="24">
        <f>IF(AND(D41="Use our estimate",E41&lt;&gt;""),E41,IF(C41&lt;&gt;"",C41,G41))</f>
        <v/>
      </c>
      <c r="J41" s="42">
        <f>IF(I41="","Not provided (optional)",IF(AND(D41="Use our estimate",E41&lt;&gt;""),"Our estimate",IF(C41&lt;&gt;"",IF(D41="Validated by Finance","Validated by Finance","Your entry (not validated)"),"Default (sample)")))</f>
        <v/>
      </c>
      <c r="K41" s="26" t="inlineStr"/>
      <c r="L41" s="26" t="inlineStr">
        <is>
          <t>Estimate of marketing</t>
        </is>
      </c>
    </row>
    <row r="42">
      <c r="A42" s="26" t="inlineStr">
        <is>
          <t>mk_collateral</t>
        </is>
      </c>
      <c r="B42" s="8" t="inlineStr">
        <is>
          <t>Collateral</t>
        </is>
      </c>
      <c r="C42" s="32">
        <f>IF('1) Data Entry'!E48="","",'1) Data Entry'!E48)</f>
        <v/>
      </c>
      <c r="D42" s="25">
        <f>IF('1) Data Entry'!F48="","",'1) Data Entry'!F48)</f>
        <v/>
      </c>
      <c r="E42" s="41" t="inlineStr"/>
      <c r="F42" s="26" t="inlineStr">
        <is>
          <t>No estimate: enter a value or use the default</t>
        </is>
      </c>
      <c r="G42" s="41" t="n">
        <v>750000</v>
      </c>
      <c r="H42" s="26" t="inlineStr">
        <is>
          <t>As-is model sample (illustrative)</t>
        </is>
      </c>
      <c r="I42" s="24">
        <f>IF(AND(D42="Use our estimate",E42&lt;&gt;""),E42,IF(C42&lt;&gt;"",C42,G42))</f>
        <v/>
      </c>
      <c r="J42" s="42">
        <f>IF(I42="","Not provided (optional)",IF(AND(D42="Use our estimate",E42&lt;&gt;""),"Our estimate",IF(C42&lt;&gt;"",IF(D42="Validated by Finance","Validated by Finance","Your entry (not validated)"),"Default (sample)")))</f>
        <v/>
      </c>
      <c r="K42" s="26" t="inlineStr"/>
      <c r="L42" s="26" t="inlineStr">
        <is>
          <t>Estimate of marketing</t>
        </is>
      </c>
    </row>
    <row r="43">
      <c r="A43" s="26" t="inlineStr">
        <is>
          <t>marketing</t>
        </is>
      </c>
      <c r="B43" s="8" t="inlineStr">
        <is>
          <t>Marketing (total)</t>
        </is>
      </c>
      <c r="C43" s="32">
        <f>IF('1) Data Entry'!E49="","",'1) Data Entry'!E49)</f>
        <v/>
      </c>
      <c r="D43" s="25">
        <f>IF('1) Data Entry'!F49="","",'1) Data Entry'!F49)</f>
        <v/>
      </c>
      <c r="E43" s="41">
        <f>IFERROR(IF(OR(v_mk_ads="",v_mk_brand="",v_mk_collateral="",v_mk_events="",v_mk_leadgen="",v_mk_mail="",v_mk_people="",v_mk_web=""),"",v_mk_people+v_mk_web+v_mk_events+v_mk_ads+v_mk_mail+v_mk_leadgen+v_mk_brand+v_mk_collateral),"")</f>
        <v/>
      </c>
      <c r="F43" s="8" t="inlineStr">
        <is>
          <t>Sum of the eight lines above</t>
        </is>
      </c>
      <c r="G43" s="41">
        <f>E43</f>
        <v/>
      </c>
      <c r="H43" s="26" t="inlineStr">
        <is>
          <t>Our estimate</t>
        </is>
      </c>
      <c r="I43" s="24">
        <f>IF(AND(D43="Use our estimate",E43&lt;&gt;""),E43,IF(C43&lt;&gt;"",C43,G43))</f>
        <v/>
      </c>
      <c r="J43" s="42">
        <f>IF(I43="","Not provided (optional)",IF(AND(D43="Use our estimate",E43&lt;&gt;""),"Our estimate",IF(C43&lt;&gt;"",IF(D43="Validated by Finance","Validated by Finance","Your entry (not validated)"),"Our estimate")))</f>
        <v/>
      </c>
      <c r="K43" s="26" t="inlineStr">
        <is>
          <t>Ledger total for marketing differs</t>
        </is>
      </c>
      <c r="L43" s="26" t="inlineStr">
        <is>
          <t>Income statement: marketing</t>
        </is>
      </c>
    </row>
    <row r="44">
      <c r="A44" s="26" t="inlineStr">
        <is>
          <t>territory_count</t>
        </is>
      </c>
      <c r="B44" s="8" t="inlineStr">
        <is>
          <t>Funded territories</t>
        </is>
      </c>
      <c r="C44" s="33">
        <f>IF('1) Data Entry'!E51="","",'1) Data Entry'!E51)</f>
        <v/>
      </c>
      <c r="D44" s="25">
        <f>IF('1) Data Entry'!F51="","",'1) Data Entry'!F51)</f>
        <v/>
      </c>
      <c r="E44" s="43" t="inlineStr"/>
      <c r="F44" s="26" t="inlineStr">
        <is>
          <t>No estimate: enter a value or use the default</t>
        </is>
      </c>
      <c r="G44" s="43" t="n">
        <v>100</v>
      </c>
      <c r="H44" s="26" t="inlineStr">
        <is>
          <t>As-is model sample (illustrative)</t>
        </is>
      </c>
      <c r="I44" s="28">
        <f>IF(AND(D44="Use our estimate",E44&lt;&gt;""),E44,IF(C44&lt;&gt;"",C44,G44))</f>
        <v/>
      </c>
      <c r="J44" s="42">
        <f>IF(I44="","Not provided (optional)",IF(AND(D44="Use our estimate",E44&lt;&gt;""),"Our estimate",IF(C44&lt;&gt;"",IF(D44="Validated by Finance","Validated by Finance","Your entry (not validated)"),"Default (sample)")))</f>
        <v/>
      </c>
      <c r="K44" s="26" t="inlineStr">
        <is>
          <t>Filled + open territories differ from this count (territory check)</t>
        </is>
      </c>
      <c r="L44" s="26" t="inlineStr">
        <is>
          <t>Estimate of salespeople; territory check</t>
        </is>
      </c>
    </row>
    <row r="45">
      <c r="A45" s="26" t="inlineStr">
        <is>
          <t>open_territories</t>
        </is>
      </c>
      <c r="B45" s="8" t="inlineStr">
        <is>
          <t>Open territories at period end</t>
        </is>
      </c>
      <c r="C45" s="33">
        <f>IF('1) Data Entry'!E52="","",'1) Data Entry'!E52)</f>
        <v/>
      </c>
      <c r="D45" s="25">
        <f>IF('1) Data Entry'!F52="","",'1) Data Entry'!F52)</f>
        <v/>
      </c>
      <c r="E45" s="43" t="inlineStr"/>
      <c r="F45" s="26" t="inlineStr">
        <is>
          <t>No estimate: enter a value or use the default</t>
        </is>
      </c>
      <c r="G45" s="43" t="n">
        <v>0</v>
      </c>
      <c r="H45" s="26" t="inlineStr">
        <is>
          <t>As-is model sample (illustrative)</t>
        </is>
      </c>
      <c r="I45" s="28">
        <f>IF(AND(D45="Use our estimate",E45&lt;&gt;""),E45,IF(C45&lt;&gt;"",C45,G45))</f>
        <v/>
      </c>
      <c r="J45" s="42">
        <f>IF(I45="","Not provided (optional)",IF(AND(D45="Use our estimate",E45&lt;&gt;""),"Our estimate",IF(C45&lt;&gt;"",IF(D45="Validated by Finance","Validated by Finance","Your entry (not validated)"),"Default (sample)")))</f>
        <v/>
      </c>
      <c r="K45" s="26" t="inlineStr">
        <is>
          <t>Roster and territory plan disagree</t>
        </is>
      </c>
      <c r="L45" s="26" t="inlineStr">
        <is>
          <t>Estimate of salespeople; territory check</t>
        </is>
      </c>
    </row>
    <row r="46">
      <c r="A46" s="26" t="inlineStr">
        <is>
          <t>filled_seats</t>
        </is>
      </c>
      <c r="B46" s="8" t="inlineStr">
        <is>
          <t>Quota-carrying salespeople</t>
        </is>
      </c>
      <c r="C46" s="33">
        <f>IF('1) Data Entry'!E53="","",'1) Data Entry'!E53)</f>
        <v/>
      </c>
      <c r="D46" s="25">
        <f>IF('1) Data Entry'!F53="","",'1) Data Entry'!F53)</f>
        <v/>
      </c>
      <c r="E46" s="43">
        <f>IFERROR(IF(OR(v_open_territories="",v_territory_count=""),"",v_territory_count-v_open_territories),"")</f>
        <v/>
      </c>
      <c r="F46" s="8" t="inlineStr">
        <is>
          <t>Funded territories − open territories</t>
        </is>
      </c>
      <c r="G46" s="43">
        <f>E46</f>
        <v/>
      </c>
      <c r="H46" s="26" t="inlineStr">
        <is>
          <t>Our estimate</t>
        </is>
      </c>
      <c r="I46" s="28">
        <f>IF(AND(D46="Use our estimate",E46&lt;&gt;""),E46,IF(C46&lt;&gt;"",C46,G46))</f>
        <v/>
      </c>
      <c r="J46" s="42">
        <f>IF(I46="","Not provided (optional)",IF(AND(D46="Use our estimate",E46&lt;&gt;""),"Our estimate",IF(C46&lt;&gt;"",IF(D46="Validated by Finance","Validated by Finance","Your entry (not validated)"),"Our estimate")))</f>
        <v/>
      </c>
      <c r="K46" s="26" t="inlineStr">
        <is>
          <t>Roster count differs from filled territories</t>
        </is>
      </c>
      <c r="L46" s="26" t="inlineStr">
        <is>
          <t>Every scenario: number of salespeople</t>
        </is>
      </c>
    </row>
    <row r="47">
      <c r="A47" s="26" t="inlineStr">
        <is>
          <t>ramp_months</t>
        </is>
      </c>
      <c r="B47" s="8" t="inlineStr">
        <is>
          <t>Ramp time (months)</t>
        </is>
      </c>
      <c r="C47" s="45">
        <f>IF('1) Data Entry'!E54="","",'1) Data Entry'!E54)</f>
        <v/>
      </c>
      <c r="D47" s="25">
        <f>IF('1) Data Entry'!F54="","",'1) Data Entry'!F54)</f>
        <v/>
      </c>
      <c r="E47" s="46" t="inlineStr"/>
      <c r="F47" s="26" t="inlineStr">
        <is>
          <t>No estimate: enter a value or use the default</t>
        </is>
      </c>
      <c r="G47" s="46" t="n">
        <v>12</v>
      </c>
      <c r="H47" s="26" t="inlineStr">
        <is>
          <t>As-is model sample (illustrative)</t>
        </is>
      </c>
      <c r="I47" s="35">
        <f>IF(AND(D47="Use our estimate",E47&lt;&gt;""),E47,IF(C47&lt;&gt;"",C47,G47))</f>
        <v/>
      </c>
      <c r="J47" s="42">
        <f>IF(I47="","Not provided (optional)",IF(AND(D47="Use our estimate",E47&lt;&gt;""),"Our estimate",IF(C47&lt;&gt;"",IF(D47="Validated by Finance","Validated by Finance","Your entry (not validated)"),"Default (sample)")))</f>
        <v/>
      </c>
      <c r="K47" s="26" t="inlineStr">
        <is>
          <t>New-hire productivity by month differs</t>
        </is>
      </c>
      <c r="L47" s="26" t="inlineStr">
        <is>
          <t>Not used by the four scenarios; used by later hiring and territory scenarios</t>
        </is>
      </c>
    </row>
    <row r="48">
      <c r="A48" s="26" t="inlineStr">
        <is>
          <t>opps_won</t>
        </is>
      </c>
      <c r="B48" s="8" t="inlineStr">
        <is>
          <t>Qualified opportunities won, optional</t>
        </is>
      </c>
      <c r="C48" s="33">
        <f>IF('1) Data Entry'!E56="","",'1) Data Entry'!E56)</f>
        <v/>
      </c>
      <c r="D48" s="25">
        <f>IF('1) Data Entry'!F56="","",'1) Data Entry'!F56)</f>
        <v/>
      </c>
      <c r="E48" s="43" t="inlineStr"/>
      <c r="F48" s="26" t="inlineStr">
        <is>
          <t>No estimate: enter a value or use the default</t>
        </is>
      </c>
      <c r="G48" s="42">
        <f>""</f>
        <v/>
      </c>
      <c r="H48" s="26" t="inlineStr">
        <is>
          <t>Optional; no default</t>
        </is>
      </c>
      <c r="I48" s="28">
        <f>IF(AND(D48="Use our estimate",E48&lt;&gt;""),E48,IF(C48&lt;&gt;"",C48,G48))</f>
        <v/>
      </c>
      <c r="J48" s="42">
        <f>IF(I48="","Not provided (optional)",IF(AND(D48="Use our estimate",E48&lt;&gt;""),"Our estimate",IF(C48&lt;&gt;"",IF(D48="Validated by Finance","Validated by Finance","Your entry (not validated)"),"Default (sample)")))</f>
        <v/>
      </c>
      <c r="K48" s="26" t="inlineStr"/>
      <c r="L48" s="26" t="inlineStr">
        <is>
          <t>Estimate and check of close rate</t>
        </is>
      </c>
    </row>
    <row r="49">
      <c r="A49" s="26" t="inlineStr">
        <is>
          <t>opps_lost</t>
        </is>
      </c>
      <c r="B49" s="8" t="inlineStr">
        <is>
          <t>Qualified opportunities lost, optional</t>
        </is>
      </c>
      <c r="C49" s="33">
        <f>IF('1) Data Entry'!E57="","",'1) Data Entry'!E57)</f>
        <v/>
      </c>
      <c r="D49" s="25">
        <f>IF('1) Data Entry'!F57="","",'1) Data Entry'!F57)</f>
        <v/>
      </c>
      <c r="E49" s="43" t="inlineStr"/>
      <c r="F49" s="26" t="inlineStr">
        <is>
          <t>No estimate: enter a value or use the default</t>
        </is>
      </c>
      <c r="G49" s="42">
        <f>""</f>
        <v/>
      </c>
      <c r="H49" s="26" t="inlineStr">
        <is>
          <t>Optional; no default</t>
        </is>
      </c>
      <c r="I49" s="28">
        <f>IF(AND(D49="Use our estimate",E49&lt;&gt;""),E49,IF(C49&lt;&gt;"",C49,G49))</f>
        <v/>
      </c>
      <c r="J49" s="42">
        <f>IF(I49="","Not provided (optional)",IF(AND(D49="Use our estimate",E49&lt;&gt;""),"Our estimate",IF(C49&lt;&gt;"",IF(D49="Validated by Finance","Validated by Finance","Your entry (not validated)"),"Default (sample)")))</f>
        <v/>
      </c>
      <c r="K49" s="26" t="inlineStr"/>
      <c r="L49" s="26" t="inlineStr">
        <is>
          <t>Estimate and check of close rate</t>
        </is>
      </c>
    </row>
    <row r="50">
      <c r="A50" s="26" t="inlineStr">
        <is>
          <t>win_rate</t>
        </is>
      </c>
      <c r="B50" s="8" t="inlineStr">
        <is>
          <t>Close rate</t>
        </is>
      </c>
      <c r="C50" s="30">
        <f>IF('1) Data Entry'!E58="","",'1) Data Entry'!E58)</f>
        <v/>
      </c>
      <c r="D50" s="25">
        <f>IF('1) Data Entry'!F58="","",'1) Data Entry'!F58)</f>
        <v/>
      </c>
      <c r="E50" s="44">
        <f>IFERROR(IF(OR(v_opps_lost="",v_opps_won=""),"",v_opps_won/(v_opps_won+v_opps_lost)),"")</f>
        <v/>
      </c>
      <c r="F50" s="8" t="inlineStr">
        <is>
          <t>Won ÷ (won + lost)</t>
        </is>
      </c>
      <c r="G50" s="44" t="n">
        <v>0.25</v>
      </c>
      <c r="H50" s="26" t="inlineStr">
        <is>
          <t>As-is model sample (illustrative)</t>
        </is>
      </c>
      <c r="I50" s="31">
        <f>IF(AND(D50="Use our estimate",E50&lt;&gt;""),E50,IF(C50&lt;&gt;"",C50,G50))</f>
        <v/>
      </c>
      <c r="J50" s="42">
        <f>IF(I50="","Not provided (optional)",IF(AND(D50="Use our estimate",E50&lt;&gt;""),"Our estimate",IF(C50&lt;&gt;"",IF(D50="Validated by Finance","Validated by Finance","Your entry (not validated)"),"Default (sample)")))</f>
        <v/>
      </c>
      <c r="K50" s="26" t="inlineStr">
        <is>
          <t>CRM won ÷ (won + lost) differs (close rate check)</t>
        </is>
      </c>
      <c r="L50" s="26" t="inlineStr">
        <is>
          <t>Every scenario: close rate</t>
        </is>
      </c>
    </row>
    <row r="51">
      <c r="A51" s="26" t="inlineStr">
        <is>
          <t>cycle_months</t>
        </is>
      </c>
      <c r="B51" s="8" t="inlineStr">
        <is>
          <t>Sales cycle (months)</t>
        </is>
      </c>
      <c r="C51" s="45">
        <f>IF('1) Data Entry'!E59="","",'1) Data Entry'!E59)</f>
        <v/>
      </c>
      <c r="D51" s="25">
        <f>IF('1) Data Entry'!F59="","",'1) Data Entry'!F59)</f>
        <v/>
      </c>
      <c r="E51" s="46" t="inlineStr"/>
      <c r="F51" s="26" t="inlineStr">
        <is>
          <t>No estimate: enter a value or use the default</t>
        </is>
      </c>
      <c r="G51" s="46" t="n">
        <v>6</v>
      </c>
      <c r="H51" s="26" t="inlineStr">
        <is>
          <t>As-is model sample (illustrative)</t>
        </is>
      </c>
      <c r="I51" s="35">
        <f>IF(AND(D51="Use our estimate",E51&lt;&gt;""),E51,IF(C51&lt;&gt;"",C51,G51))</f>
        <v/>
      </c>
      <c r="J51" s="42">
        <f>IF(I51="","Not provided (optional)",IF(AND(D51="Use our estimate",E51&lt;&gt;""),"Our estimate",IF(C51&lt;&gt;"",IF(D51="Validated by Finance","Validated by Finance","Your entry (not validated)"),"Default (sample)")))</f>
        <v/>
      </c>
      <c r="K51" s="26" t="inlineStr">
        <is>
          <t>CRM median cycle differs; Little's Law check fails</t>
        </is>
      </c>
      <c r="L51" s="26" t="inlineStr">
        <is>
          <t>Every scenario: cycle time</t>
        </is>
      </c>
    </row>
    <row r="52">
      <c r="A52" s="26" t="inlineStr">
        <is>
          <t>deal_size</t>
        </is>
      </c>
      <c r="B52" s="8" t="inlineStr">
        <is>
          <t>Average revenue per contract</t>
        </is>
      </c>
      <c r="C52" s="32">
        <f>IF('1) Data Entry'!E60="","",'1) Data Entry'!E60)</f>
        <v/>
      </c>
      <c r="D52" s="25">
        <f>IF('1) Data Entry'!F60="","",'1) Data Entry'!F60)</f>
        <v/>
      </c>
      <c r="E52" s="41">
        <f>IFERROR(IF(OR(v_contracts="",v_revenue=""),"",v_revenue/v_contracts),"")</f>
        <v/>
      </c>
      <c r="F52" s="8" t="inlineStr">
        <is>
          <t>Revenue ÷ contracts</t>
        </is>
      </c>
      <c r="G52" s="41" t="n">
        <v>75000</v>
      </c>
      <c r="H52" s="26" t="inlineStr">
        <is>
          <t>Reference value from another client, chosen so the model fits companies of any size (as-is model)</t>
        </is>
      </c>
      <c r="I52" s="24">
        <f>IF(AND(D52="Use our estimate",E52&lt;&gt;""),E52,IF(C52&lt;&gt;"",C52,G52))</f>
        <v/>
      </c>
      <c r="J52" s="42">
        <f>IF(I52="","Not provided (optional)",IF(AND(D52="Use our estimate",E52&lt;&gt;""),"Our estimate",IF(C52&lt;&gt;"",IF(D52="Validated by Finance","Validated by Finance","Your entry (not validated)"),"Default (sample)")))</f>
        <v/>
      </c>
      <c r="K52" s="26" t="inlineStr">
        <is>
          <t>Revenue ÷ contracts differs (deal size check)</t>
        </is>
      </c>
      <c r="L52" s="26" t="inlineStr">
        <is>
          <t>Every scenario: deal size</t>
        </is>
      </c>
    </row>
    <row r="53">
      <c r="A53" s="26" t="inlineStr">
        <is>
          <t>open_opps_total</t>
        </is>
      </c>
      <c r="B53" s="8" t="inlineStr">
        <is>
          <t>Open qualified opportunities, optional</t>
        </is>
      </c>
      <c r="C53" s="33">
        <f>IF('1) Data Entry'!E61="","",'1) Data Entry'!E61)</f>
        <v/>
      </c>
      <c r="D53" s="25">
        <f>IF('1) Data Entry'!F61="","",'1) Data Entry'!F61)</f>
        <v/>
      </c>
      <c r="E53" s="43" t="inlineStr"/>
      <c r="F53" s="26" t="inlineStr">
        <is>
          <t>No estimate: enter a value or use the default</t>
        </is>
      </c>
      <c r="G53" s="42">
        <f>""</f>
        <v/>
      </c>
      <c r="H53" s="26" t="inlineStr">
        <is>
          <t>Optional; no default</t>
        </is>
      </c>
      <c r="I53" s="28">
        <f>IF(AND(D53="Use our estimate",E53&lt;&gt;""),E53,IF(C53&lt;&gt;"",C53,G53))</f>
        <v/>
      </c>
      <c r="J53" s="42">
        <f>IF(I53="","Not provided (optional)",IF(AND(D53="Use our estimate",E53&lt;&gt;""),"Our estimate",IF(C53&lt;&gt;"",IF(D53="Validated by Finance","Validated by Finance","Your entry (not validated)"),"Default (sample)")))</f>
        <v/>
      </c>
      <c r="K53" s="26" t="inlineStr"/>
      <c r="L53" s="26" t="inlineStr">
        <is>
          <t>Opportunities held per salesperson; Little's Law check</t>
        </is>
      </c>
    </row>
    <row r="54">
      <c r="A54" s="26" t="inlineStr">
        <is>
          <t>opportunities_capacity</t>
        </is>
      </c>
      <c r="B54" s="8" t="inlineStr">
        <is>
          <t>Opportunities a salesperson can manage at once</t>
        </is>
      </c>
      <c r="C54" s="33">
        <f>IF('1) Data Entry'!E62="","",'1) Data Entry'!E62)</f>
        <v/>
      </c>
      <c r="D54" s="25">
        <f>IF('1) Data Entry'!F62="","",'1) Data Entry'!F62)</f>
        <v/>
      </c>
      <c r="E54" s="43" t="inlineStr"/>
      <c r="F54" s="26" t="inlineStr">
        <is>
          <t>No estimate: enter a value or use the default</t>
        </is>
      </c>
      <c r="G54" s="43" t="n">
        <v>30</v>
      </c>
      <c r="H54" s="26" t="inlineStr">
        <is>
          <t>As-is model sample (illustrative)</t>
        </is>
      </c>
      <c r="I54" s="28">
        <f>IF(AND(D54="Use our estimate",E54&lt;&gt;""),E54,IF(C54&lt;&gt;"",C54,G54))</f>
        <v/>
      </c>
      <c r="J54" s="42">
        <f>IF(I54="","Not provided (optional)",IF(AND(D54="Use our estimate",E54&lt;&gt;""),"Our estimate",IF(C54&lt;&gt;"",IF(D54="Validated by Finance","Validated by Finance","Your entry (not validated)"),"Default (sample)")))</f>
        <v/>
      </c>
      <c r="K54" s="26" t="inlineStr">
        <is>
          <t>Close rate and cycle hold steady at loads above this level</t>
        </is>
      </c>
      <c r="L54" s="26" t="inlineStr">
        <is>
          <t>Every scenario: salesperson capacity</t>
        </is>
      </c>
    </row>
    <row r="58">
      <c r="A58" s="36" t="inlineStr">
        <is>
          <t>Cross-checks: what the entries imply vs what was reported</t>
        </is>
      </c>
    </row>
    <row r="59">
      <c r="A59" s="18" t="inlineStr">
        <is>
          <t>ID</t>
        </is>
      </c>
      <c r="B59" s="18" t="inlineStr">
        <is>
          <t>Check</t>
        </is>
      </c>
      <c r="C59" s="18" t="inlineStr">
        <is>
          <t>What it compares</t>
        </is>
      </c>
      <c r="D59" s="18" t="inlineStr">
        <is>
          <t>Model implies</t>
        </is>
      </c>
      <c r="E59" s="18" t="inlineStr">
        <is>
          <t>Reported / used</t>
        </is>
      </c>
      <c r="F59" s="18" t="inlineStr">
        <is>
          <t>Gap</t>
        </is>
      </c>
      <c r="G59" s="18" t="inlineStr">
        <is>
          <t>Tolerance</t>
        </is>
      </c>
      <c r="H59" s="18" t="inlineStr">
        <is>
          <t>Status</t>
        </is>
      </c>
      <c r="I59" s="18" t="inlineStr">
        <is>
          <t>Rule</t>
        </is>
      </c>
    </row>
    <row r="60" ht="30" customHeight="1">
      <c r="A60" s="26" t="inlineStr">
        <is>
          <t>deal</t>
        </is>
      </c>
      <c r="B60" s="7" t="inlineStr">
        <is>
          <t>Deal size</t>
        </is>
      </c>
      <c r="C60" s="8" t="inlineStr">
        <is>
          <t>Revenue ÷ contracts, compared with the deal size used</t>
        </is>
      </c>
      <c r="D60" s="41">
        <f>IFERROR(IF(OR(v_revenue="",N(v_contracts)=0),"",v_revenue/v_contracts),"")</f>
        <v/>
      </c>
      <c r="E60" s="41">
        <f>IFERROR(v_deal_size,"")</f>
        <v/>
      </c>
      <c r="F60" s="47">
        <f>IF(OR(D60="",E60="",N(E60)=0),"",D60/E60-1)</f>
        <v/>
      </c>
      <c r="G60" s="48" t="n">
        <v>0.1</v>
      </c>
      <c r="H60" s="49">
        <f>IF(F60="","NEEDS DATA",IF(ABS(F60)&lt;=G60+1E-9,"PASS","REVIEW"))</f>
        <v/>
      </c>
      <c r="I60" s="26" t="inlineStr">
        <is>
          <t>Gap = implied ÷ reported − 1.  PASS if |gap| ≤ tolerance.</t>
        </is>
      </c>
    </row>
    <row r="61" ht="43" customHeight="1">
      <c r="A61" s="26" t="inlineStr">
        <is>
          <t>revenue</t>
        </is>
      </c>
      <c r="B61" s="7" t="inlineStr">
        <is>
          <t>Revenue</t>
        </is>
      </c>
      <c r="C61" s="8" t="inlineStr">
        <is>
          <t>Revenue the model produces at baseline, compared with revenue reported</t>
        </is>
      </c>
      <c r="D61" s="41">
        <f>IFERROR(m_base_revenue,"")</f>
        <v/>
      </c>
      <c r="E61" s="41">
        <f>IFERROR(v_revenue,"")</f>
        <v/>
      </c>
      <c r="F61" s="47">
        <f>IF(OR(D61="",E61="",N(E61)=0),"",D61/E61-1)</f>
        <v/>
      </c>
      <c r="G61" s="48" t="n">
        <v>0.1</v>
      </c>
      <c r="H61" s="49">
        <f>IF(F61="","NEEDS DATA",IF(ABS(F61)&lt;=G61+1E-9,"PASS","REVIEW"))</f>
        <v/>
      </c>
      <c r="I61" s="26" t="inlineStr">
        <is>
          <t>Gap = implied ÷ reported − 1.  PASS if |gap| ≤ tolerance.</t>
        </is>
      </c>
    </row>
    <row r="62" ht="43" customHeight="1">
      <c r="A62" s="26" t="inlineStr">
        <is>
          <t>contracts</t>
        </is>
      </c>
      <c r="B62" s="7" t="inlineStr">
        <is>
          <t>Contracts</t>
        </is>
      </c>
      <c r="C62" s="8" t="inlineStr">
        <is>
          <t>Contracts the model produces at baseline, compared with contracts reported</t>
        </is>
      </c>
      <c r="D62" s="50">
        <f>IFERROR(m_base_contracts,"")</f>
        <v/>
      </c>
      <c r="E62" s="50">
        <f>IFERROR(v_contracts,"")</f>
        <v/>
      </c>
      <c r="F62" s="47">
        <f>IF(OR(D62="",E62="",N(E62)=0),"",D62/E62-1)</f>
        <v/>
      </c>
      <c r="G62" s="48" t="n">
        <v>0.1</v>
      </c>
      <c r="H62" s="49">
        <f>IF(F62="","NEEDS DATA",IF(ABS(F62)&lt;=G62+1E-9,"PASS","REVIEW"))</f>
        <v/>
      </c>
      <c r="I62" s="26" t="inlineStr">
        <is>
          <t>Gap = implied ÷ reported − 1.  PASS if |gap| ≤ tolerance.</t>
        </is>
      </c>
    </row>
    <row r="63" ht="30" customHeight="1">
      <c r="A63" s="26" t="inlineStr">
        <is>
          <t>win</t>
        </is>
      </c>
      <c r="B63" s="7" t="inlineStr">
        <is>
          <t>Close rate</t>
        </is>
      </c>
      <c r="C63" s="8" t="inlineStr">
        <is>
          <t>CRM won ÷ (won + lost), compared with the close rate used</t>
        </is>
      </c>
      <c r="D63" s="44">
        <f>IFERROR(IF(OR(v_opps_won="",v_opps_lost=""),"",v_opps_won/(v_opps_won+v_opps_lost)),"")</f>
        <v/>
      </c>
      <c r="E63" s="44">
        <f>IFERROR(v_win_rate,"")</f>
        <v/>
      </c>
      <c r="F63" s="47">
        <f>IF(OR(D63="",E63="",N(E63)=0),"",D63/E63-1)</f>
        <v/>
      </c>
      <c r="G63" s="48" t="n">
        <v>0.1</v>
      </c>
      <c r="H63" s="49">
        <f>IF(F63="","NEEDS DATA",IF(ABS(F63)&lt;=G63+1E-9,"PASS","REVIEW"))</f>
        <v/>
      </c>
      <c r="I63" s="26" t="inlineStr">
        <is>
          <t>Gap = implied ÷ reported − 1.  PASS if |gap| ≤ tolerance.</t>
        </is>
      </c>
    </row>
    <row r="64" ht="30" customHeight="1">
      <c r="A64" s="26" t="inlineStr">
        <is>
          <t>commission</t>
        </is>
      </c>
      <c r="B64" s="7" t="inlineStr">
        <is>
          <t>Commission</t>
        </is>
      </c>
      <c r="C64" s="8" t="inlineStr">
        <is>
          <t>Commissions paid ÷ revenue, compared with the commission rate used</t>
        </is>
      </c>
      <c r="D64" s="44">
        <f>IFERROR(IF(OR(v_commissions_paid="",N(v_revenue)=0),"",v_commissions_paid/v_revenue),"")</f>
        <v/>
      </c>
      <c r="E64" s="44">
        <f>IFERROR(v_commission_rate,"")</f>
        <v/>
      </c>
      <c r="F64" s="47">
        <f>IF(OR(D64="",E64="",N(E64)=0),"",D64/E64-1)</f>
        <v/>
      </c>
      <c r="G64" s="48" t="n">
        <v>0.1</v>
      </c>
      <c r="H64" s="49">
        <f>IF(F64="","NEEDS DATA",IF(ABS(F64)&lt;=G64+1E-9,"PASS","REVIEW"))</f>
        <v/>
      </c>
      <c r="I64" s="26" t="inlineStr">
        <is>
          <t>Gap = implied ÷ reported − 1.  PASS if |gap| ≤ tolerance.</t>
        </is>
      </c>
    </row>
    <row r="65" ht="69" customHeight="1">
      <c r="A65" s="26" t="inlineStr">
        <is>
          <t>littles</t>
        </is>
      </c>
      <c r="B65" s="7" t="inlineStr">
        <is>
          <t>Little's Law</t>
        </is>
      </c>
      <c r="C65" s="8" t="inlineStr">
        <is>
          <t>Opportunities each salesperson must hold to close the reported contracts (contracts ÷ close rate ÷ salespeople × cycle ÷ 12), compared with opportunities held in the CRM</t>
        </is>
      </c>
      <c r="D65" s="50">
        <f>IFERROR(IF(OR(N(v_win_rate)=0,N(v_filled_seats)=0),"",v_contracts/v_win_rate/v_filled_seats*v_cycle_months/12),"")</f>
        <v/>
      </c>
      <c r="E65" s="50">
        <f>IFERROR(IF(N(v_open_opps_total)=0,"",v_open_opps_total/v_filled_seats),"")</f>
        <v/>
      </c>
      <c r="F65" s="47">
        <f>IF(OR(D65="",E65="",N(E65)=0),"",D65/E65-1)</f>
        <v/>
      </c>
      <c r="G65" s="48" t="n">
        <v>0.25</v>
      </c>
      <c r="H65" s="49">
        <f>IF(F65="","NEEDS DATA",IF(ABS(F65)&lt;=G65+1E-9,"PASS","REVIEW"))</f>
        <v/>
      </c>
      <c r="I65" s="26" t="inlineStr">
        <is>
          <t>Gap = implied ÷ reported − 1.  PASS if |gap| ≤ tolerance.</t>
        </is>
      </c>
    </row>
    <row r="66" ht="56" customHeight="1">
      <c r="A66" s="26" t="inlineStr">
        <is>
          <t>territory</t>
        </is>
      </c>
      <c r="B66" s="7" t="inlineStr">
        <is>
          <t>Territories</t>
        </is>
      </c>
      <c r="C66" s="8" t="inlineStr">
        <is>
          <t>Salespeople + open territories, compared with funded territories (runs only when the salesperson count is entered, not estimated)</t>
        </is>
      </c>
      <c r="D66" s="50">
        <f>IFERROR(IF('1) Data Entry'!$E$53="","",v_filled_seats+v_open_territories),"")</f>
        <v/>
      </c>
      <c r="E66" s="50">
        <f>IFERROR(v_territory_count,"")</f>
        <v/>
      </c>
      <c r="F66" s="47">
        <f>IF(OR(D66="",E66="",N(E66)=0),"",D66/E66-1)</f>
        <v/>
      </c>
      <c r="G66" s="48" t="n">
        <v>0</v>
      </c>
      <c r="H66" s="49">
        <f>IF(F66="","NEEDS DATA",IF(ABS(F66)&lt;=G66+1E-9,"PASS","REVIEW"))</f>
        <v/>
      </c>
      <c r="I66" s="26" t="inlineStr">
        <is>
          <t>Gap = implied ÷ reported − 1.  PASS if |gap| ≤ tolerance.</t>
        </is>
      </c>
    </row>
    <row r="69">
      <c r="A69" s="36" t="inlineStr">
        <is>
          <t>Status</t>
        </is>
      </c>
    </row>
    <row r="70">
      <c r="A70" s="26" t="inlineStr">
        <is>
          <t>st_required</t>
        </is>
      </c>
      <c r="B70" s="8" t="inlineStr">
        <is>
          <t>Entries the model uses (not optional blanks)</t>
        </is>
      </c>
      <c r="C70" s="28">
        <f>COUNTA($J$8:$J$54)-COUNTIF($J$8:$J$54,"Not provided*")</f>
        <v/>
      </c>
    </row>
    <row r="71">
      <c r="A71" s="26" t="inlineStr">
        <is>
          <t>st_validated</t>
        </is>
      </c>
      <c r="B71" s="8" t="inlineStr">
        <is>
          <t>Of those, validated by Finance</t>
        </is>
      </c>
      <c r="C71" s="28">
        <f>COUNTIF($J$8:$J$54,"Validated by Finance")</f>
        <v/>
      </c>
    </row>
    <row r="72">
      <c r="A72" s="26" t="inlineStr">
        <is>
          <t>st_review</t>
        </is>
      </c>
      <c r="B72" s="8" t="inlineStr">
        <is>
          <t>Checks needing review</t>
        </is>
      </c>
      <c r="C72" s="28">
        <f>COUNTIF($H$60:$H$66,"REVIEW")</f>
        <v/>
      </c>
    </row>
    <row r="73">
      <c r="A73" s="26" t="inlineStr">
        <is>
          <t>v_banner</t>
        </is>
      </c>
      <c r="B73" s="8" t="inlineStr">
        <is>
          <t>Banner shown on every client sheet</t>
        </is>
      </c>
      <c r="C73" s="51">
        <f>IF(AND(st_validated=st_required,st_review=0),"Baseline validated by Finance","Working model: not validated by Finance  ·  "&amp;st_validated&amp;" of "&amp;st_required&amp;" entries validated  ·  "&amp;st_review&amp;" checks need review")</f>
        <v/>
      </c>
      <c r="D73" s="52" t="n"/>
      <c r="E73" s="52" t="n"/>
      <c r="F73" s="52" t="n"/>
      <c r="G73" s="52" t="n"/>
      <c r="H73" s="52" t="n"/>
      <c r="I73" s="6" t="n"/>
    </row>
  </sheetData>
  <mergeCells count="4">
    <mergeCell ref="C73:I73"/>
    <mergeCell ref="A3:L3"/>
    <mergeCell ref="A5:L5"/>
    <mergeCell ref="A4:L4"/>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FFC000"/>
    <outlinePr summaryBelow="1" summaryRight="1"/>
    <pageSetUpPr fitToPage="1"/>
  </sheetPr>
  <dimension ref="B1:G63"/>
  <sheetViews>
    <sheetView showGridLines="0" workbookViewId="0">
      <selection activeCell="A1" sqref="A1"/>
    </sheetView>
  </sheetViews>
  <sheetFormatPr baseColWidth="8" defaultRowHeight="15"/>
  <cols>
    <col width="3" customWidth="1" min="1" max="1"/>
    <col width="42" customWidth="1" min="2" max="2"/>
    <col width="18" customWidth="1" min="3" max="3"/>
    <col width="18" customWidth="1" min="4" max="4"/>
    <col width="18" customWidth="1" min="5" max="5"/>
    <col width="18" customWidth="1" min="6" max="6"/>
    <col width="44" customWidth="1" min="7" max="7"/>
  </cols>
  <sheetData>
    <row r="1">
      <c r="B1" s="14" t="inlineStr">
        <is>
          <t>2) What-If Scenarios</t>
        </is>
      </c>
    </row>
    <row r="2">
      <c r="B2" s="15" t="inlineStr">
        <is>
          <t>© 2000–2026 Growth Enablement. All rights reserved.</t>
        </is>
      </c>
    </row>
    <row r="3">
      <c r="B3" s="16">
        <f>v_banner</f>
        <v/>
      </c>
    </row>
    <row r="4" ht="28" customHeight="1">
      <c r="B4" s="15">
        <f>IF(m_base_revenue="","",IF(ABS(m_base_revenue/v_revenue-1)&lt;=0.1,"Calibration: the model baseline reproduces reported revenue within 10%.","Calibration: the model baseline produces "&amp;TEXT(m_base_revenue,"$#,##0")&amp;" of revenue; you reported "&amp;TEXT(v_revenue,"$#,##0")&amp;". Resolve the checks on 1) Data Entry before relying on these results."))</f>
        <v/>
      </c>
    </row>
    <row r="6">
      <c r="B6" s="36" t="inlineStr">
        <is>
          <t>Choose</t>
        </is>
      </c>
    </row>
    <row r="7">
      <c r="B7" s="7" t="inlineStr">
        <is>
          <t>Scenario to show</t>
        </is>
      </c>
      <c r="C7" s="53" t="inlineStr">
        <is>
          <t>Combined</t>
        </is>
      </c>
      <c r="D7" s="15" t="inlineStr">
        <is>
          <t>Close rate, Cycle time, Deal size, or Combined (all three)</t>
        </is>
      </c>
    </row>
    <row r="8">
      <c r="B8" s="7" t="inlineStr">
        <is>
          <t>Close rate improvement</t>
        </is>
      </c>
      <c r="C8" s="54" t="n">
        <v>0.1</v>
      </c>
      <c r="D8" s="15" t="inlineStr">
        <is>
          <t>Relative: 10% turns a 25% close rate into 27.5%</t>
        </is>
      </c>
    </row>
    <row r="9">
      <c r="B9" s="7" t="inlineStr">
        <is>
          <t>Cycle time reduction</t>
        </is>
      </c>
      <c r="C9" s="54" t="n">
        <v>0.1</v>
      </c>
      <c r="D9" s="15" t="inlineStr">
        <is>
          <t>Relative: 10% turns 6 months into 5.4</t>
        </is>
      </c>
    </row>
    <row r="10">
      <c r="B10" s="7" t="inlineStr">
        <is>
          <t>Deal size increase</t>
        </is>
      </c>
      <c r="C10" s="54" t="n">
        <v>0.1</v>
      </c>
      <c r="D10" s="15" t="inlineStr">
        <is>
          <t>Relative: 10% turns $75,000 into $82,500</t>
        </is>
      </c>
    </row>
    <row r="11">
      <c r="B11" s="7" t="inlineStr">
        <is>
          <t>Target operating income (optional)</t>
        </is>
      </c>
      <c r="C11" s="55" t="n"/>
      <c r="D11" s="15" t="inlineStr">
        <is>
          <t>Shows what each lever would have to achieve, at the bottom of this sheet</t>
        </is>
      </c>
    </row>
    <row r="13">
      <c r="B13" s="36" t="inlineStr">
        <is>
          <t>The four scenarios at a glance</t>
        </is>
      </c>
    </row>
    <row r="14">
      <c r="B14" s="18" t="inlineStr">
        <is>
          <t>Scenario</t>
        </is>
      </c>
      <c r="C14" s="18" t="inlineStr">
        <is>
          <t>Revenue</t>
        </is>
      </c>
      <c r="D14" s="18" t="inlineStr">
        <is>
          <t>Operating income</t>
        </is>
      </c>
      <c r="E14" s="18" t="inlineStr">
        <is>
          <t>Change in operating income</t>
        </is>
      </c>
      <c r="F14" s="18" t="inlineStr">
        <is>
          <t>Operating margin</t>
        </is>
      </c>
      <c r="G14" s="18" t="inlineStr">
        <is>
          <t>Guardrail</t>
        </is>
      </c>
    </row>
    <row r="15" ht="26" customHeight="1">
      <c r="B15" s="7" t="inlineStr">
        <is>
          <t>Baseline</t>
        </is>
      </c>
      <c r="C15" s="32">
        <f>'2) What-If Logic'!C25</f>
        <v/>
      </c>
      <c r="D15" s="32">
        <f>'2) What-If Logic'!C38</f>
        <v/>
      </c>
      <c r="E15" s="56" t="inlineStr"/>
      <c r="F15" s="30">
        <f>'2) What-If Logic'!C39</f>
        <v/>
      </c>
      <c r="G15" s="26">
        <f>'2) What-If Logic'!C50</f>
        <v/>
      </c>
    </row>
    <row r="16" ht="26" customHeight="1">
      <c r="B16" s="7" t="inlineStr">
        <is>
          <t>Close rate</t>
        </is>
      </c>
      <c r="C16" s="32">
        <f>'2) What-If Logic'!D25</f>
        <v/>
      </c>
      <c r="D16" s="32">
        <f>'2) What-If Logic'!D38</f>
        <v/>
      </c>
      <c r="E16" s="57">
        <f>'2) What-If Logic'!D44</f>
        <v/>
      </c>
      <c r="F16" s="30">
        <f>'2) What-If Logic'!D39</f>
        <v/>
      </c>
      <c r="G16" s="26">
        <f>'2) What-If Logic'!D50</f>
        <v/>
      </c>
    </row>
    <row r="17" ht="26" customHeight="1">
      <c r="B17" s="7" t="inlineStr">
        <is>
          <t>Cycle time</t>
        </is>
      </c>
      <c r="C17" s="32">
        <f>'2) What-If Logic'!E25</f>
        <v/>
      </c>
      <c r="D17" s="32">
        <f>'2) What-If Logic'!E38</f>
        <v/>
      </c>
      <c r="E17" s="57">
        <f>'2) What-If Logic'!E44</f>
        <v/>
      </c>
      <c r="F17" s="30">
        <f>'2) What-If Logic'!E39</f>
        <v/>
      </c>
      <c r="G17" s="26">
        <f>'2) What-If Logic'!E50</f>
        <v/>
      </c>
    </row>
    <row r="18" ht="26" customHeight="1">
      <c r="B18" s="7" t="inlineStr">
        <is>
          <t>Deal size</t>
        </is>
      </c>
      <c r="C18" s="32">
        <f>'2) What-If Logic'!F25</f>
        <v/>
      </c>
      <c r="D18" s="32">
        <f>'2) What-If Logic'!F38</f>
        <v/>
      </c>
      <c r="E18" s="57">
        <f>'2) What-If Logic'!F44</f>
        <v/>
      </c>
      <c r="F18" s="30">
        <f>'2) What-If Logic'!F39</f>
        <v/>
      </c>
      <c r="G18" s="26">
        <f>'2) What-If Logic'!F50</f>
        <v/>
      </c>
    </row>
    <row r="19" ht="26" customHeight="1">
      <c r="B19" s="7" t="inlineStr">
        <is>
          <t>Combined</t>
        </is>
      </c>
      <c r="C19" s="32">
        <f>'2) What-If Logic'!G25</f>
        <v/>
      </c>
      <c r="D19" s="32">
        <f>'2) What-If Logic'!G38</f>
        <v/>
      </c>
      <c r="E19" s="57">
        <f>'2) What-If Logic'!G44</f>
        <v/>
      </c>
      <c r="F19" s="30">
        <f>'2) What-If Logic'!G39</f>
        <v/>
      </c>
      <c r="G19" s="26">
        <f>'2) What-If Logic'!G50</f>
        <v/>
      </c>
    </row>
    <row r="21">
      <c r="B21" s="36">
        <f>"Pro forma income statement: "&amp;wi_select</f>
        <v/>
      </c>
    </row>
    <row r="22">
      <c r="B22" s="18" t="inlineStr"/>
      <c r="C22" s="18" t="inlineStr">
        <is>
          <t>Baseline</t>
        </is>
      </c>
      <c r="D22" s="18">
        <f>wi_select</f>
        <v/>
      </c>
      <c r="E22" s="18" t="inlineStr">
        <is>
          <t>Change</t>
        </is>
      </c>
      <c r="F22" s="18" t="inlineStr">
        <is>
          <t>Change %</t>
        </is>
      </c>
    </row>
    <row r="23">
      <c r="B23" s="58" t="inlineStr">
        <is>
          <t>Revenue</t>
        </is>
      </c>
      <c r="C23" s="59">
        <f>'2) What-If Logic'!C25</f>
        <v/>
      </c>
      <c r="D23" s="60">
        <f>'2) What-If Logic'!H25</f>
        <v/>
      </c>
      <c r="E23" s="61">
        <f>D23-C23</f>
        <v/>
      </c>
      <c r="F23" s="62">
        <f>IF(C23=0,"",(D23-C23)/ABS(C23))</f>
        <v/>
      </c>
    </row>
    <row r="24">
      <c r="B24" s="63" t="inlineStr">
        <is>
          <t>Cost of revenue</t>
        </is>
      </c>
      <c r="C24" s="32">
        <f>'2) What-If Logic'!C26</f>
        <v/>
      </c>
      <c r="D24" s="64">
        <f>'2) What-If Logic'!H26</f>
        <v/>
      </c>
      <c r="E24" s="65">
        <f>D24-C24</f>
        <v/>
      </c>
      <c r="F24" s="47">
        <f>IF(C24=0,"",(D24-C24)/ABS(C24))</f>
        <v/>
      </c>
    </row>
    <row r="25">
      <c r="B25" s="58" t="inlineStr">
        <is>
          <t>Gross profit</t>
        </is>
      </c>
      <c r="C25" s="59">
        <f>'2) What-If Logic'!C27</f>
        <v/>
      </c>
      <c r="D25" s="60">
        <f>'2) What-If Logic'!H27</f>
        <v/>
      </c>
      <c r="E25" s="61">
        <f>D25-C25</f>
        <v/>
      </c>
      <c r="F25" s="62">
        <f>IF(C25=0,"",(D25-C25)/ABS(C25))</f>
        <v/>
      </c>
    </row>
    <row r="26">
      <c r="B26" s="63" t="inlineStr">
        <is>
          <t>Research and development</t>
        </is>
      </c>
      <c r="C26" s="32">
        <f>'2) What-If Logic'!C28</f>
        <v/>
      </c>
      <c r="D26" s="64">
        <f>'2) What-If Logic'!H28</f>
        <v/>
      </c>
      <c r="E26" s="65">
        <f>D26-C26</f>
        <v/>
      </c>
      <c r="F26" s="47">
        <f>IF(C26=0,"",(D26-C26)/ABS(C26))</f>
        <v/>
      </c>
    </row>
    <row r="27">
      <c r="B27" s="63" t="inlineStr">
        <is>
          <t>Salesperson pay (salary and benefits)</t>
        </is>
      </c>
      <c r="C27" s="32">
        <f>'2) What-If Logic'!C29</f>
        <v/>
      </c>
      <c r="D27" s="64">
        <f>'2) What-If Logic'!H29</f>
        <v/>
      </c>
      <c r="E27" s="65">
        <f>D27-C27</f>
        <v/>
      </c>
      <c r="F27" s="47">
        <f>IF(C27=0,"",(D27-C27)/ABS(C27))</f>
        <v/>
      </c>
    </row>
    <row r="28">
      <c r="B28" s="63" t="inlineStr">
        <is>
          <t>Salesperson travel</t>
        </is>
      </c>
      <c r="C28" s="32">
        <f>'2) What-If Logic'!C30</f>
        <v/>
      </c>
      <c r="D28" s="64">
        <f>'2) What-If Logic'!H30</f>
        <v/>
      </c>
      <c r="E28" s="65">
        <f>D28-C28</f>
        <v/>
      </c>
      <c r="F28" s="47">
        <f>IF(C28=0,"",(D28-C28)/ABS(C28))</f>
        <v/>
      </c>
    </row>
    <row r="29">
      <c r="B29" s="63" t="inlineStr">
        <is>
          <t>Commissions</t>
        </is>
      </c>
      <c r="C29" s="32">
        <f>'2) What-If Logic'!C31</f>
        <v/>
      </c>
      <c r="D29" s="64">
        <f>'2) What-If Logic'!H31</f>
        <v/>
      </c>
      <c r="E29" s="65">
        <f>D29-C29</f>
        <v/>
      </c>
      <c r="F29" s="47">
        <f>IF(C29=0,"",(D29-C29)/ABS(C29))</f>
        <v/>
      </c>
    </row>
    <row r="30">
      <c r="B30" s="63" t="inlineStr">
        <is>
          <t>Sales overhead</t>
        </is>
      </c>
      <c r="C30" s="32">
        <f>'2) What-If Logic'!C32</f>
        <v/>
      </c>
      <c r="D30" s="64">
        <f>'2) What-If Logic'!H32</f>
        <v/>
      </c>
      <c r="E30" s="65">
        <f>D30-C30</f>
        <v/>
      </c>
      <c r="F30" s="47">
        <f>IF(C30=0,"",(D30-C30)/ABS(C30))</f>
        <v/>
      </c>
    </row>
    <row r="31">
      <c r="B31" s="66" t="inlineStr">
        <is>
          <t>Total sales costs</t>
        </is>
      </c>
      <c r="C31" s="67">
        <f>'2) What-If Logic'!C33</f>
        <v/>
      </c>
      <c r="D31" s="24">
        <f>'2) What-If Logic'!H33</f>
        <v/>
      </c>
      <c r="E31" s="68">
        <f>D31-C31</f>
        <v/>
      </c>
      <c r="F31" s="47">
        <f>IF(C31=0,"",(D31-C31)/ABS(C31))</f>
        <v/>
      </c>
    </row>
    <row r="32">
      <c r="B32" s="63" t="inlineStr">
        <is>
          <t>Marketing</t>
        </is>
      </c>
      <c r="C32" s="32">
        <f>'2) What-If Logic'!C34</f>
        <v/>
      </c>
      <c r="D32" s="64">
        <f>'2) What-If Logic'!H34</f>
        <v/>
      </c>
      <c r="E32" s="65">
        <f>D32-C32</f>
        <v/>
      </c>
      <c r="F32" s="47">
        <f>IF(C32=0,"",(D32-C32)/ABS(C32))</f>
        <v/>
      </c>
    </row>
    <row r="33">
      <c r="B33" s="66" t="inlineStr">
        <is>
          <t>Total sales and marketing</t>
        </is>
      </c>
      <c r="C33" s="67">
        <f>'2) What-If Logic'!C35</f>
        <v/>
      </c>
      <c r="D33" s="24">
        <f>'2) What-If Logic'!H35</f>
        <v/>
      </c>
      <c r="E33" s="68">
        <f>D33-C33</f>
        <v/>
      </c>
      <c r="F33" s="47">
        <f>IF(C33=0,"",(D33-C33)/ABS(C33))</f>
        <v/>
      </c>
    </row>
    <row r="34">
      <c r="B34" s="63" t="inlineStr">
        <is>
          <t>General and administrative</t>
        </is>
      </c>
      <c r="C34" s="32">
        <f>'2) What-If Logic'!C36</f>
        <v/>
      </c>
      <c r="D34" s="64">
        <f>'2) What-If Logic'!H36</f>
        <v/>
      </c>
      <c r="E34" s="65">
        <f>D34-C34</f>
        <v/>
      </c>
      <c r="F34" s="47">
        <f>IF(C34=0,"",(D34-C34)/ABS(C34))</f>
        <v/>
      </c>
    </row>
    <row r="35">
      <c r="B35" s="58" t="inlineStr">
        <is>
          <t>Total operating expenses</t>
        </is>
      </c>
      <c r="C35" s="59">
        <f>'2) What-If Logic'!C37</f>
        <v/>
      </c>
      <c r="D35" s="60">
        <f>'2) What-If Logic'!H37</f>
        <v/>
      </c>
      <c r="E35" s="61">
        <f>D35-C35</f>
        <v/>
      </c>
      <c r="F35" s="62">
        <f>IF(C35=0,"",(D35-C35)/ABS(C35))</f>
        <v/>
      </c>
    </row>
    <row r="36">
      <c r="B36" s="69" t="inlineStr">
        <is>
          <t>Operating income</t>
        </is>
      </c>
      <c r="C36" s="70">
        <f>'2) What-If Logic'!C38</f>
        <v/>
      </c>
      <c r="D36" s="70">
        <f>'2) What-If Logic'!H38</f>
        <v/>
      </c>
      <c r="E36" s="61">
        <f>D36-C36</f>
        <v/>
      </c>
      <c r="F36" s="62">
        <f>IF(C36=0,"",(D36-C36)/ABS(C36))</f>
        <v/>
      </c>
    </row>
    <row r="37">
      <c r="B37" s="66" t="inlineStr">
        <is>
          <t>Operating margin</t>
        </is>
      </c>
      <c r="C37" s="71">
        <f>'2) What-If Logic'!C39</f>
        <v/>
      </c>
      <c r="D37" s="31">
        <f>'2) What-If Logic'!H39</f>
        <v/>
      </c>
      <c r="E37" s="72">
        <f>(D37-C37)*100</f>
        <v/>
      </c>
      <c r="F37" s="42" t="inlineStr"/>
    </row>
    <row r="38">
      <c r="B38" s="26" t="inlineStr">
        <is>
          <t>True-up (change in revenue − change in costs − change in operating income)</t>
        </is>
      </c>
      <c r="D38" s="73">
        <f>'2) What-If Logic'!H46</f>
        <v/>
      </c>
    </row>
    <row r="40">
      <c r="B40" s="36" t="inlineStr">
        <is>
          <t>What drives it</t>
        </is>
      </c>
    </row>
    <row r="41">
      <c r="B41" s="18" t="inlineStr"/>
      <c r="C41" s="18" t="inlineStr">
        <is>
          <t>Baseline</t>
        </is>
      </c>
      <c r="D41" s="18">
        <f>wi_select</f>
        <v/>
      </c>
      <c r="E41" s="18" t="inlineStr">
        <is>
          <t>Change</t>
        </is>
      </c>
    </row>
    <row r="42">
      <c r="B42" s="8" t="inlineStr">
        <is>
          <t>Salespeople</t>
        </is>
      </c>
      <c r="C42" s="33">
        <f>'2) What-If Logic'!C12</f>
        <v/>
      </c>
      <c r="D42" s="74">
        <f>'2) What-If Logic'!H12</f>
        <v/>
      </c>
      <c r="E42" s="75">
        <f>IF(OR(C42="",D42=""),"",D42-C42)</f>
        <v/>
      </c>
    </row>
    <row r="43">
      <c r="B43" s="8" t="inlineStr">
        <is>
          <t>Opportunities worked at once, per salesperson</t>
        </is>
      </c>
      <c r="C43" s="39">
        <f>'2) What-If Logic'!C15</f>
        <v/>
      </c>
      <c r="D43" s="76">
        <f>'2) What-If Logic'!H15</f>
        <v/>
      </c>
      <c r="E43" s="77">
        <f>IF(OR(C43="",D43=""),"",D43-C43)</f>
        <v/>
      </c>
    </row>
    <row r="44">
      <c r="B44" s="8" t="inlineStr">
        <is>
          <t>Utilization of capacity (blank if pipeline not entered)</t>
        </is>
      </c>
      <c r="C44" s="30">
        <f>'2) What-If Logic'!C16</f>
        <v/>
      </c>
      <c r="D44" s="78">
        <f>'2) What-If Logic'!H16</f>
        <v/>
      </c>
      <c r="E44" s="47">
        <f>IF(OR(C44="",D44=""),"",D44-C44)</f>
        <v/>
      </c>
    </row>
    <row r="45">
      <c r="B45" s="8" t="inlineStr">
        <is>
          <t>Sales cycle (months)</t>
        </is>
      </c>
      <c r="C45" s="45">
        <f>'2) What-If Logic'!C17</f>
        <v/>
      </c>
      <c r="D45" s="79">
        <f>'2) What-If Logic'!H17</f>
        <v/>
      </c>
      <c r="E45" s="80">
        <f>IF(OR(C45="",D45=""),"",D45-C45)</f>
        <v/>
      </c>
    </row>
    <row r="46">
      <c r="B46" s="8" t="inlineStr">
        <is>
          <t>Opportunities resolved per salesperson per year</t>
        </is>
      </c>
      <c r="C46" s="39">
        <f>'2) What-If Logic'!C18</f>
        <v/>
      </c>
      <c r="D46" s="76">
        <f>'2) What-If Logic'!H18</f>
        <v/>
      </c>
      <c r="E46" s="77">
        <f>IF(OR(C46="",D46=""),"",D46-C46)</f>
        <v/>
      </c>
    </row>
    <row r="47">
      <c r="B47" s="8" t="inlineStr">
        <is>
          <t>Close rate</t>
        </is>
      </c>
      <c r="C47" s="30">
        <f>'2) What-If Logic'!C19</f>
        <v/>
      </c>
      <c r="D47" s="78">
        <f>'2) What-If Logic'!H19</f>
        <v/>
      </c>
      <c r="E47" s="47">
        <f>IF(OR(C47="",D47=""),"",D47-C47)</f>
        <v/>
      </c>
    </row>
    <row r="48">
      <c r="B48" s="8" t="inlineStr">
        <is>
          <t>Contracts per salesperson per year</t>
        </is>
      </c>
      <c r="C48" s="39">
        <f>'2) What-If Logic'!C20</f>
        <v/>
      </c>
      <c r="D48" s="76">
        <f>'2) What-If Logic'!H20</f>
        <v/>
      </c>
      <c r="E48" s="77">
        <f>IF(OR(C48="",D48=""),"",D48-C48)</f>
        <v/>
      </c>
    </row>
    <row r="49">
      <c r="B49" s="8" t="inlineStr">
        <is>
          <t>Average revenue per contract</t>
        </is>
      </c>
      <c r="C49" s="32">
        <f>'2) What-If Logic'!C21</f>
        <v/>
      </c>
      <c r="D49" s="64">
        <f>'2) What-If Logic'!H21</f>
        <v/>
      </c>
      <c r="E49" s="65">
        <f>IF(OR(C49="",D49=""),"",D49-C49)</f>
        <v/>
      </c>
    </row>
    <row r="50">
      <c r="B50" s="8" t="inlineStr">
        <is>
          <t>Revenue per salesperson</t>
        </is>
      </c>
      <c r="C50" s="32">
        <f>'2) What-If Logic'!C22</f>
        <v/>
      </c>
      <c r="D50" s="64">
        <f>'2) What-If Logic'!H22</f>
        <v/>
      </c>
      <c r="E50" s="65">
        <f>IF(OR(C50="",D50=""),"",D50-C50)</f>
        <v/>
      </c>
    </row>
    <row r="51">
      <c r="B51" s="8" t="inlineStr">
        <is>
          <t>Contracts</t>
        </is>
      </c>
      <c r="C51" s="33">
        <f>'2) What-If Logic'!C23</f>
        <v/>
      </c>
      <c r="D51" s="74">
        <f>'2) What-If Logic'!H23</f>
        <v/>
      </c>
      <c r="E51" s="75">
        <f>IF(OR(C51="",D51=""),"",D51-C51)</f>
        <v/>
      </c>
    </row>
    <row r="52">
      <c r="B52" s="15">
        <f>'2) What-If Logic'!H50</f>
        <v/>
      </c>
    </row>
    <row r="54">
      <c r="B54" s="36" t="inlineStr">
        <is>
          <t>What it would take to reach your target operating income</t>
        </is>
      </c>
    </row>
    <row r="55" ht="26" customHeight="1">
      <c r="B55" s="15" t="inlineStr">
        <is>
          <t>The income statement is the constraint: an improvement only counts if it reaches operating income. Enter a target above, and the model works back to the revenue required and what each lever would have to achieve.</t>
        </is>
      </c>
    </row>
    <row r="56">
      <c r="B56" s="8" t="inlineStr">
        <is>
          <t>Target operating income</t>
        </is>
      </c>
      <c r="C56" s="64">
        <f>'2) What-If Logic'!C54</f>
        <v/>
      </c>
      <c r="D56" s="32">
        <f>'2) What-If Logic'!C38</f>
        <v/>
      </c>
      <c r="E56" s="15" t="inlineStr">
        <is>
          <t>baseline</t>
        </is>
      </c>
    </row>
    <row r="57">
      <c r="B57" s="7" t="inlineStr">
        <is>
          <t>Revenue required</t>
        </is>
      </c>
      <c r="C57" s="64">
        <f>'2) What-If Logic'!C58</f>
        <v/>
      </c>
      <c r="D57" s="32">
        <f>'2) What-If Logic'!C25</f>
        <v/>
      </c>
      <c r="E57" s="15" t="inlineStr">
        <is>
          <t>baseline</t>
        </is>
      </c>
    </row>
    <row r="58">
      <c r="B58" s="7" t="inlineStr">
        <is>
          <t>Revenue increase required</t>
        </is>
      </c>
      <c r="C58" s="81">
        <f>'2) What-If Logic'!C59</f>
        <v/>
      </c>
    </row>
    <row r="59">
      <c r="B59" s="8" t="inlineStr">
        <is>
          <t>Close rate needed, if close rate alone</t>
        </is>
      </c>
      <c r="C59" s="78">
        <f>'2) What-If Logic'!C60</f>
        <v/>
      </c>
      <c r="D59" s="30">
        <f>'2) What-If Logic'!C19</f>
        <v/>
      </c>
      <c r="E59" s="15" t="inlineStr">
        <is>
          <t>baseline</t>
        </is>
      </c>
    </row>
    <row r="60">
      <c r="B60" s="8" t="inlineStr">
        <is>
          <t>Cycle needed (months), if cycle alone</t>
        </is>
      </c>
      <c r="C60" s="79">
        <f>'2) What-If Logic'!C61</f>
        <v/>
      </c>
      <c r="D60" s="45">
        <f>'2) What-If Logic'!C17</f>
        <v/>
      </c>
      <c r="E60" s="15" t="inlineStr">
        <is>
          <t>baseline</t>
        </is>
      </c>
    </row>
    <row r="61">
      <c r="B61" s="8" t="inlineStr">
        <is>
          <t>Deal size needed, if deal size alone</t>
        </is>
      </c>
      <c r="C61" s="64">
        <f>'2) What-If Logic'!C62</f>
        <v/>
      </c>
      <c r="D61" s="32">
        <f>'2) What-If Logic'!C21</f>
        <v/>
      </c>
      <c r="E61" s="15" t="inlineStr">
        <is>
          <t>baseline</t>
        </is>
      </c>
    </row>
    <row r="62">
      <c r="B62" s="8" t="inlineStr">
        <is>
          <t>Or: improve close rate, cycle and deal size each by</t>
        </is>
      </c>
      <c r="C62" s="81">
        <f>'2) What-If Logic'!C63</f>
        <v/>
      </c>
    </row>
    <row r="63">
      <c r="B63" s="82">
        <f>'2) What-If Logic'!C64</f>
        <v/>
      </c>
    </row>
  </sheetData>
  <mergeCells count="10">
    <mergeCell ref="B3:G3"/>
    <mergeCell ref="D9:G9"/>
    <mergeCell ref="D8:G8"/>
    <mergeCell ref="B63:G63"/>
    <mergeCell ref="D7:G7"/>
    <mergeCell ref="B4:G4"/>
    <mergeCell ref="B52:G52"/>
    <mergeCell ref="D11:G11"/>
    <mergeCell ref="D10:G10"/>
    <mergeCell ref="B55:G55"/>
  </mergeCells>
  <conditionalFormatting sqref="G15:G19">
    <cfRule type="expression" priority="1" dxfId="0">
      <formula>AND(G15&lt;&gt;"OK",G15&lt;&gt;"")</formula>
    </cfRule>
  </conditionalFormatting>
  <dataValidations count="1">
    <dataValidation sqref="C7" showDropDown="0" showInputMessage="0" showErrorMessage="0" allowBlank="0" type="list">
      <formula1>"Close rate,Cycle time,Deal size,Combined"</formula1>
    </dataValidation>
  </dataValidations>
  <pageMargins left="0.75" right="0.75" top="1" bottom="1" header="0.5" footer="0.5"/>
  <pageSetup orientation="portrait" fitToHeight="0" fitToWidth="1"/>
</worksheet>
</file>

<file path=xl/worksheets/sheet5.xml><?xml version="1.0" encoding="utf-8"?>
<worksheet xmlns="http://schemas.openxmlformats.org/spreadsheetml/2006/main">
  <sheetPr>
    <tabColor rgb="00808080"/>
    <outlinePr summaryBelow="1" summaryRight="1"/>
    <pageSetUpPr fitToPage="1"/>
  </sheetPr>
  <dimension ref="A1:I6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40" customWidth="1" min="1" max="1"/>
    <col width="62" customWidth="1" min="2" max="2"/>
    <col width="16" customWidth="1" min="3" max="3"/>
    <col width="16" customWidth="1" min="4" max="4"/>
    <col width="16" customWidth="1" min="5" max="5"/>
    <col width="16" customWidth="1" min="6" max="6"/>
    <col width="16" customWidth="1" min="7" max="7"/>
    <col width="18" customWidth="1" min="8" max="8"/>
  </cols>
  <sheetData>
    <row r="1">
      <c r="A1" s="14" t="inlineStr">
        <is>
          <t>2) What-If Logic</t>
        </is>
      </c>
    </row>
    <row r="2">
      <c r="A2" s="15" t="inlineStr">
        <is>
          <t>Programming logic for the scenarios. Reads tab 1 only through the v_ names; reads 2) What-If only for the scenario choice, improvement sizes and target.</t>
        </is>
      </c>
    </row>
    <row r="3">
      <c r="A3" s="17" t="inlineStr">
        <is>
          <t>Each row is one calculation. Column B states the rule in words; columns C–G apply it to the baseline and the four scenarios; column H shows the scenario chosen on 2) What-If.</t>
        </is>
      </c>
    </row>
    <row r="6">
      <c r="A6" s="18" t="inlineStr">
        <is>
          <t>Line</t>
        </is>
      </c>
      <c r="B6" s="18" t="inlineStr">
        <is>
          <t>How it is calculated</t>
        </is>
      </c>
      <c r="C6" s="18" t="inlineStr">
        <is>
          <t>Baseline</t>
        </is>
      </c>
      <c r="D6" s="18" t="inlineStr">
        <is>
          <t>Close rate</t>
        </is>
      </c>
      <c r="E6" s="18" t="inlineStr">
        <is>
          <t>Cycle time</t>
        </is>
      </c>
      <c r="F6" s="18" t="inlineStr">
        <is>
          <t>Deal size</t>
        </is>
      </c>
      <c r="G6" s="18" t="inlineStr">
        <is>
          <t>Combined</t>
        </is>
      </c>
      <c r="H6" s="18" t="inlineStr">
        <is>
          <t>Selected scenario</t>
        </is>
      </c>
    </row>
    <row r="7">
      <c r="A7" s="19" t="inlineStr">
        <is>
          <t>Scenario changes (set on 2) What-If)</t>
        </is>
      </c>
    </row>
    <row r="8">
      <c r="A8" s="8" t="inlineStr">
        <is>
          <t>Close rate improvement</t>
        </is>
      </c>
      <c r="B8" s="26" t="inlineStr">
        <is>
          <t>Set on 2) What-If; applies to Close rate and Combined</t>
        </is>
      </c>
      <c r="C8" s="83">
        <f>0</f>
        <v/>
      </c>
      <c r="D8" s="83">
        <f>wi_win</f>
        <v/>
      </c>
      <c r="E8" s="83">
        <f>0</f>
        <v/>
      </c>
      <c r="F8" s="83">
        <f>0</f>
        <v/>
      </c>
      <c r="G8" s="83">
        <f>wi_win</f>
        <v/>
      </c>
      <c r="H8" s="84">
        <f>INDEX(C8:G8,MATCH(wi_select,$C$6:$G$6,0))</f>
        <v/>
      </c>
    </row>
    <row r="9">
      <c r="A9" s="8" t="inlineStr">
        <is>
          <t>Cycle time reduction</t>
        </is>
      </c>
      <c r="B9" s="26" t="inlineStr">
        <is>
          <t>Set on 2) What-If; applies to Cycle time and Combined</t>
        </is>
      </c>
      <c r="C9" s="83">
        <f>0</f>
        <v/>
      </c>
      <c r="D9" s="83">
        <f>0</f>
        <v/>
      </c>
      <c r="E9" s="83">
        <f>wi_cycle</f>
        <v/>
      </c>
      <c r="F9" s="83">
        <f>0</f>
        <v/>
      </c>
      <c r="G9" s="83">
        <f>wi_cycle</f>
        <v/>
      </c>
      <c r="H9" s="84">
        <f>INDEX(C9:G9,MATCH(wi_select,$C$6:$G$6,0))</f>
        <v/>
      </c>
    </row>
    <row r="10">
      <c r="A10" s="8" t="inlineStr">
        <is>
          <t>Deal size increase</t>
        </is>
      </c>
      <c r="B10" s="26" t="inlineStr">
        <is>
          <t>Set on 2) What-If; applies to Deal size and Combined</t>
        </is>
      </c>
      <c r="C10" s="83">
        <f>0</f>
        <v/>
      </c>
      <c r="D10" s="83">
        <f>0</f>
        <v/>
      </c>
      <c r="E10" s="83">
        <f>0</f>
        <v/>
      </c>
      <c r="F10" s="83">
        <f>wi_deal</f>
        <v/>
      </c>
      <c r="G10" s="83">
        <f>wi_deal</f>
        <v/>
      </c>
      <c r="H10" s="84">
        <f>INDEX(C10:G10,MATCH(wi_select,$C$6:$G$6,0))</f>
        <v/>
      </c>
    </row>
    <row r="11">
      <c r="A11" s="19" t="inlineStr">
        <is>
          <t>Salesperson throughput</t>
        </is>
      </c>
    </row>
    <row r="12">
      <c r="A12" s="8" t="inlineStr">
        <is>
          <t>Salespeople</t>
        </is>
      </c>
      <c r="B12" s="26" t="inlineStr">
        <is>
          <t>Value used: quota-carrying salespeople</t>
        </is>
      </c>
      <c r="C12" s="85">
        <f>v_filled_seats</f>
        <v/>
      </c>
      <c r="D12" s="85">
        <f>v_filled_seats</f>
        <v/>
      </c>
      <c r="E12" s="85">
        <f>v_filled_seats</f>
        <v/>
      </c>
      <c r="F12" s="85">
        <f>v_filled_seats</f>
        <v/>
      </c>
      <c r="G12" s="85">
        <f>v_filled_seats</f>
        <v/>
      </c>
      <c r="H12" s="86">
        <f>INDEX(C12:G12,MATCH(wi_select,$C$6:$G$6,0))</f>
        <v/>
      </c>
    </row>
    <row r="13">
      <c r="A13" s="8" t="inlineStr">
        <is>
          <t>Opportunities a salesperson can manage at once</t>
        </is>
      </c>
      <c r="B13" s="26" t="inlineStr">
        <is>
          <t>Value used: capacity</t>
        </is>
      </c>
      <c r="C13" s="87">
        <f>v_opportunities_capacity</f>
        <v/>
      </c>
      <c r="D13" s="87">
        <f>v_opportunities_capacity</f>
        <v/>
      </c>
      <c r="E13" s="87">
        <f>v_opportunities_capacity</f>
        <v/>
      </c>
      <c r="F13" s="87">
        <f>v_opportunities_capacity</f>
        <v/>
      </c>
      <c r="G13" s="87">
        <f>v_opportunities_capacity</f>
        <v/>
      </c>
      <c r="H13" s="88">
        <f>INDEX(C13:G13,MATCH(wi_select,$C$6:$G$6,0))</f>
        <v/>
      </c>
    </row>
    <row r="14">
      <c r="A14" s="8" t="inlineStr">
        <is>
          <t>Opportunities each salesperson holds</t>
        </is>
      </c>
      <c r="B14" s="26" t="inlineStr">
        <is>
          <t>Open opportunities ÷ salespeople; blank if not entered</t>
        </is>
      </c>
      <c r="C14" s="87">
        <f>IF(N(v_open_opps_total)=0,"",v_open_opps_total/C12)</f>
        <v/>
      </c>
      <c r="D14" s="87">
        <f>IF(N(v_open_opps_total)=0,"",v_open_opps_total/D12)</f>
        <v/>
      </c>
      <c r="E14" s="87">
        <f>IF(N(v_open_opps_total)=0,"",v_open_opps_total/E12)</f>
        <v/>
      </c>
      <c r="F14" s="87">
        <f>IF(N(v_open_opps_total)=0,"",v_open_opps_total/F12)</f>
        <v/>
      </c>
      <c r="G14" s="87">
        <f>IF(N(v_open_opps_total)=0,"",v_open_opps_total/G12)</f>
        <v/>
      </c>
      <c r="H14" s="88">
        <f>INDEX(C14:G14,MATCH(wi_select,$C$6:$G$6,0))</f>
        <v/>
      </c>
    </row>
    <row r="15">
      <c r="A15" s="8" t="inlineStr">
        <is>
          <t>Opportunities worked at once</t>
        </is>
      </c>
      <c r="B15" s="26" t="inlineStr">
        <is>
          <t>Lesser of held and capacity; capacity if held is not entered</t>
        </is>
      </c>
      <c r="C15" s="87">
        <f>IF(C14="",C13,MIN(C14,C13))</f>
        <v/>
      </c>
      <c r="D15" s="87">
        <f>IF(D14="",D13,MIN(D14,D13))</f>
        <v/>
      </c>
      <c r="E15" s="87">
        <f>IF(E14="",E13,MIN(E14,E13))</f>
        <v/>
      </c>
      <c r="F15" s="87">
        <f>IF(F14="",F13,MIN(F14,F13))</f>
        <v/>
      </c>
      <c r="G15" s="87">
        <f>IF(G14="",G13,MIN(G14,G13))</f>
        <v/>
      </c>
      <c r="H15" s="88">
        <f>INDEX(C15:G15,MATCH(wi_select,$C$6:$G$6,0))</f>
        <v/>
      </c>
    </row>
    <row r="16">
      <c r="A16" s="8" t="inlineStr">
        <is>
          <t>Utilization of capacity</t>
        </is>
      </c>
      <c r="B16" s="26" t="inlineStr">
        <is>
          <t>Worked ÷ capacity; blank if held is not entered</t>
        </is>
      </c>
      <c r="C16" s="89">
        <f>IF(C14="","",C15/C13)</f>
        <v/>
      </c>
      <c r="D16" s="89">
        <f>IF(D14="","",D15/D13)</f>
        <v/>
      </c>
      <c r="E16" s="89">
        <f>IF(E14="","",E15/E13)</f>
        <v/>
      </c>
      <c r="F16" s="89">
        <f>IF(F14="","",F15/F13)</f>
        <v/>
      </c>
      <c r="G16" s="89">
        <f>IF(G14="","",G15/G13)</f>
        <v/>
      </c>
      <c r="H16" s="90">
        <f>INDEX(C16:G16,MATCH(wi_select,$C$6:$G$6,0))</f>
        <v/>
      </c>
    </row>
    <row r="17">
      <c r="A17" s="8" t="inlineStr">
        <is>
          <t>Sales cycle (months)</t>
        </is>
      </c>
      <c r="B17" s="26" t="inlineStr">
        <is>
          <t>Cycle used × (1 − cycle time reduction)</t>
        </is>
      </c>
      <c r="C17" s="91">
        <f>v_cycle_months*(1-C9)</f>
        <v/>
      </c>
      <c r="D17" s="91">
        <f>v_cycle_months*(1-D9)</f>
        <v/>
      </c>
      <c r="E17" s="91">
        <f>v_cycle_months*(1-E9)</f>
        <v/>
      </c>
      <c r="F17" s="91">
        <f>v_cycle_months*(1-F9)</f>
        <v/>
      </c>
      <c r="G17" s="91">
        <f>v_cycle_months*(1-G9)</f>
        <v/>
      </c>
      <c r="H17" s="92">
        <f>INDEX(C17:G17,MATCH(wi_select,$C$6:$G$6,0))</f>
        <v/>
      </c>
    </row>
    <row r="18">
      <c r="A18" s="8" t="inlineStr">
        <is>
          <t>Opportunities resolved per salesperson per year</t>
        </is>
      </c>
      <c r="B18" s="26" t="inlineStr">
        <is>
          <t>Worked × 12 ÷ cycle (Little's Law)</t>
        </is>
      </c>
      <c r="C18" s="87">
        <f>C15*12/C17</f>
        <v/>
      </c>
      <c r="D18" s="87">
        <f>D15*12/D17</f>
        <v/>
      </c>
      <c r="E18" s="87">
        <f>E15*12/E17</f>
        <v/>
      </c>
      <c r="F18" s="87">
        <f>F15*12/F17</f>
        <v/>
      </c>
      <c r="G18" s="87">
        <f>G15*12/G17</f>
        <v/>
      </c>
      <c r="H18" s="88">
        <f>INDEX(C18:G18,MATCH(wi_select,$C$6:$G$6,0))</f>
        <v/>
      </c>
    </row>
    <row r="19">
      <c r="A19" s="8" t="inlineStr">
        <is>
          <t>Close rate</t>
        </is>
      </c>
      <c r="B19" s="26" t="inlineStr">
        <is>
          <t>Close rate used × (1 + close rate improvement)</t>
        </is>
      </c>
      <c r="C19" s="89">
        <f>v_win_rate*(1+C8)</f>
        <v/>
      </c>
      <c r="D19" s="89">
        <f>v_win_rate*(1+D8)</f>
        <v/>
      </c>
      <c r="E19" s="89">
        <f>v_win_rate*(1+E8)</f>
        <v/>
      </c>
      <c r="F19" s="89">
        <f>v_win_rate*(1+F8)</f>
        <v/>
      </c>
      <c r="G19" s="89">
        <f>v_win_rate*(1+G8)</f>
        <v/>
      </c>
      <c r="H19" s="90">
        <f>INDEX(C19:G19,MATCH(wi_select,$C$6:$G$6,0))</f>
        <v/>
      </c>
    </row>
    <row r="20">
      <c r="A20" s="8" t="inlineStr">
        <is>
          <t>Contracts per salesperson per year</t>
        </is>
      </c>
      <c r="B20" s="26" t="inlineStr">
        <is>
          <t>Resolved × close rate</t>
        </is>
      </c>
      <c r="C20" s="87">
        <f>C18*C19</f>
        <v/>
      </c>
      <c r="D20" s="87">
        <f>D18*D19</f>
        <v/>
      </c>
      <c r="E20" s="87">
        <f>E18*E19</f>
        <v/>
      </c>
      <c r="F20" s="87">
        <f>F18*F19</f>
        <v/>
      </c>
      <c r="G20" s="87">
        <f>G18*G19</f>
        <v/>
      </c>
      <c r="H20" s="88">
        <f>INDEX(C20:G20,MATCH(wi_select,$C$6:$G$6,0))</f>
        <v/>
      </c>
    </row>
    <row r="21">
      <c r="A21" s="8" t="inlineStr">
        <is>
          <t>Average revenue per contract</t>
        </is>
      </c>
      <c r="B21" s="26" t="inlineStr">
        <is>
          <t>Deal size used × (1 + deal size increase)</t>
        </is>
      </c>
      <c r="C21" s="93">
        <f>v_deal_size*(1+C10)</f>
        <v/>
      </c>
      <c r="D21" s="93">
        <f>v_deal_size*(1+D10)</f>
        <v/>
      </c>
      <c r="E21" s="93">
        <f>v_deal_size*(1+E10)</f>
        <v/>
      </c>
      <c r="F21" s="93">
        <f>v_deal_size*(1+F10)</f>
        <v/>
      </c>
      <c r="G21" s="93">
        <f>v_deal_size*(1+G10)</f>
        <v/>
      </c>
      <c r="H21" s="94">
        <f>INDEX(C21:G21,MATCH(wi_select,$C$6:$G$6,0))</f>
        <v/>
      </c>
    </row>
    <row r="22">
      <c r="A22" s="8" t="inlineStr">
        <is>
          <t>Revenue per salesperson</t>
        </is>
      </c>
      <c r="B22" s="26" t="inlineStr">
        <is>
          <t>Contracts per salesperson × deal size</t>
        </is>
      </c>
      <c r="C22" s="93">
        <f>C20*C21</f>
        <v/>
      </c>
      <c r="D22" s="93">
        <f>D20*D21</f>
        <v/>
      </c>
      <c r="E22" s="93">
        <f>E20*E21</f>
        <v/>
      </c>
      <c r="F22" s="93">
        <f>F20*F21</f>
        <v/>
      </c>
      <c r="G22" s="93">
        <f>G20*G21</f>
        <v/>
      </c>
      <c r="H22" s="94">
        <f>INDEX(C22:G22,MATCH(wi_select,$C$6:$G$6,0))</f>
        <v/>
      </c>
    </row>
    <row r="23">
      <c r="A23" s="8" t="inlineStr">
        <is>
          <t>Contracts</t>
        </is>
      </c>
      <c r="B23" s="26" t="inlineStr">
        <is>
          <t>Contracts per salesperson × salespeople</t>
        </is>
      </c>
      <c r="C23" s="85">
        <f>C20*C12</f>
        <v/>
      </c>
      <c r="D23" s="85">
        <f>D20*D12</f>
        <v/>
      </c>
      <c r="E23" s="85">
        <f>E20*E12</f>
        <v/>
      </c>
      <c r="F23" s="85">
        <f>F20*F12</f>
        <v/>
      </c>
      <c r="G23" s="85">
        <f>G20*G12</f>
        <v/>
      </c>
      <c r="H23" s="86">
        <f>INDEX(C23:G23,MATCH(wi_select,$C$6:$G$6,0))</f>
        <v/>
      </c>
    </row>
    <row r="24">
      <c r="A24" s="19" t="inlineStr">
        <is>
          <t>Pro forma income statement</t>
        </is>
      </c>
    </row>
    <row r="25">
      <c r="A25" s="7" t="inlineStr">
        <is>
          <t>Revenue</t>
        </is>
      </c>
      <c r="B25" s="26" t="inlineStr">
        <is>
          <t>Revenue per salesperson × salespeople</t>
        </is>
      </c>
      <c r="C25" s="95">
        <f>C22*C12</f>
        <v/>
      </c>
      <c r="D25" s="95">
        <f>D22*D12</f>
        <v/>
      </c>
      <c r="E25" s="95">
        <f>E22*E12</f>
        <v/>
      </c>
      <c r="F25" s="95">
        <f>F22*F12</f>
        <v/>
      </c>
      <c r="G25" s="95">
        <f>G22*G12</f>
        <v/>
      </c>
      <c r="H25" s="96">
        <f>INDEX(C25:G25,MATCH(wi_select,$C$6:$G$6,0))</f>
        <v/>
      </c>
    </row>
    <row r="26">
      <c r="A26" s="8" t="inlineStr">
        <is>
          <t>Cost of revenue</t>
        </is>
      </c>
      <c r="B26" s="26" t="inlineStr">
        <is>
          <t>Revenue × cost of revenue %</t>
        </is>
      </c>
      <c r="C26" s="93">
        <f>C25*v_cost_of_revenue_pct</f>
        <v/>
      </c>
      <c r="D26" s="93">
        <f>D25*v_cost_of_revenue_pct</f>
        <v/>
      </c>
      <c r="E26" s="93">
        <f>E25*v_cost_of_revenue_pct</f>
        <v/>
      </c>
      <c r="F26" s="93">
        <f>F25*v_cost_of_revenue_pct</f>
        <v/>
      </c>
      <c r="G26" s="93">
        <f>G25*v_cost_of_revenue_pct</f>
        <v/>
      </c>
      <c r="H26" s="94">
        <f>INDEX(C26:G26,MATCH(wi_select,$C$6:$G$6,0))</f>
        <v/>
      </c>
    </row>
    <row r="27">
      <c r="A27" s="7" t="inlineStr">
        <is>
          <t>Gross profit</t>
        </is>
      </c>
      <c r="B27" s="26" t="inlineStr">
        <is>
          <t>Revenue − cost of revenue</t>
        </is>
      </c>
      <c r="C27" s="97">
        <f>C25-C26</f>
        <v/>
      </c>
      <c r="D27" s="97">
        <f>D25-D26</f>
        <v/>
      </c>
      <c r="E27" s="97">
        <f>E25-E26</f>
        <v/>
      </c>
      <c r="F27" s="97">
        <f>F25-F26</f>
        <v/>
      </c>
      <c r="G27" s="97">
        <f>G25-G26</f>
        <v/>
      </c>
      <c r="H27" s="96">
        <f>INDEX(C27:G27,MATCH(wi_select,$C$6:$G$6,0))</f>
        <v/>
      </c>
    </row>
    <row r="28">
      <c r="A28" s="8" t="inlineStr">
        <is>
          <t>Research and development</t>
        </is>
      </c>
      <c r="B28" s="26" t="inlineStr">
        <is>
          <t>Revenue × R&amp;D %</t>
        </is>
      </c>
      <c r="C28" s="93">
        <f>C25*v_rnd_pct</f>
        <v/>
      </c>
      <c r="D28" s="93">
        <f>D25*v_rnd_pct</f>
        <v/>
      </c>
      <c r="E28" s="93">
        <f>E25*v_rnd_pct</f>
        <v/>
      </c>
      <c r="F28" s="93">
        <f>F25*v_rnd_pct</f>
        <v/>
      </c>
      <c r="G28" s="93">
        <f>G25*v_rnd_pct</f>
        <v/>
      </c>
      <c r="H28" s="94">
        <f>INDEX(C28:G28,MATCH(wi_select,$C$6:$G$6,0))</f>
        <v/>
      </c>
    </row>
    <row r="29">
      <c r="A29" s="8" t="inlineStr">
        <is>
          <t>Salesperson pay (salary and benefits)</t>
        </is>
      </c>
      <c r="B29" s="26" t="inlineStr">
        <is>
          <t>Fully loaded salary × salespeople</t>
        </is>
      </c>
      <c r="C29" s="93">
        <f>v_loaded_salary*C12</f>
        <v/>
      </c>
      <c r="D29" s="93">
        <f>v_loaded_salary*D12</f>
        <v/>
      </c>
      <c r="E29" s="93">
        <f>v_loaded_salary*E12</f>
        <v/>
      </c>
      <c r="F29" s="93">
        <f>v_loaded_salary*F12</f>
        <v/>
      </c>
      <c r="G29" s="93">
        <f>v_loaded_salary*G12</f>
        <v/>
      </c>
      <c r="H29" s="94">
        <f>INDEX(C29:G29,MATCH(wi_select,$C$6:$G$6,0))</f>
        <v/>
      </c>
    </row>
    <row r="30">
      <c r="A30" s="8" t="inlineStr">
        <is>
          <t>Salesperson travel</t>
        </is>
      </c>
      <c r="B30" s="26" t="inlineStr">
        <is>
          <t>Travel per salesperson × salespeople</t>
        </is>
      </c>
      <c r="C30" s="93">
        <f>v_travel_per_salesperson*C12</f>
        <v/>
      </c>
      <c r="D30" s="93">
        <f>v_travel_per_salesperson*D12</f>
        <v/>
      </c>
      <c r="E30" s="93">
        <f>v_travel_per_salesperson*E12</f>
        <v/>
      </c>
      <c r="F30" s="93">
        <f>v_travel_per_salesperson*F12</f>
        <v/>
      </c>
      <c r="G30" s="93">
        <f>v_travel_per_salesperson*G12</f>
        <v/>
      </c>
      <c r="H30" s="94">
        <f>INDEX(C30:G30,MATCH(wi_select,$C$6:$G$6,0))</f>
        <v/>
      </c>
    </row>
    <row r="31">
      <c r="A31" s="8" t="inlineStr">
        <is>
          <t>Commissions</t>
        </is>
      </c>
      <c r="B31" s="26" t="inlineStr">
        <is>
          <t>Commission rate × revenue</t>
        </is>
      </c>
      <c r="C31" s="93">
        <f>v_commission_rate*C25</f>
        <v/>
      </c>
      <c r="D31" s="93">
        <f>v_commission_rate*D25</f>
        <v/>
      </c>
      <c r="E31" s="93">
        <f>v_commission_rate*E25</f>
        <v/>
      </c>
      <c r="F31" s="93">
        <f>v_commission_rate*F25</f>
        <v/>
      </c>
      <c r="G31" s="93">
        <f>v_commission_rate*G25</f>
        <v/>
      </c>
      <c r="H31" s="94">
        <f>INDEX(C31:G31,MATCH(wi_select,$C$6:$G$6,0))</f>
        <v/>
      </c>
    </row>
    <row r="32">
      <c r="A32" s="8" t="inlineStr">
        <is>
          <t>Sales overhead</t>
        </is>
      </c>
      <c r="B32" s="26" t="inlineStr">
        <is>
          <t>Value used: sales overhead (fixed)</t>
        </is>
      </c>
      <c r="C32" s="93">
        <f>v_sales_overhead</f>
        <v/>
      </c>
      <c r="D32" s="93">
        <f>v_sales_overhead</f>
        <v/>
      </c>
      <c r="E32" s="93">
        <f>v_sales_overhead</f>
        <v/>
      </c>
      <c r="F32" s="93">
        <f>v_sales_overhead</f>
        <v/>
      </c>
      <c r="G32" s="93">
        <f>v_sales_overhead</f>
        <v/>
      </c>
      <c r="H32" s="94">
        <f>INDEX(C32:G32,MATCH(wi_select,$C$6:$G$6,0))</f>
        <v/>
      </c>
    </row>
    <row r="33">
      <c r="A33" s="7" t="inlineStr">
        <is>
          <t>Total sales costs</t>
        </is>
      </c>
      <c r="B33" s="26" t="inlineStr">
        <is>
          <t>Pay + travel + commissions + overhead</t>
        </is>
      </c>
      <c r="C33" s="97">
        <f>C29+C30+C31+C32</f>
        <v/>
      </c>
      <c r="D33" s="97">
        <f>D29+D30+D31+D32</f>
        <v/>
      </c>
      <c r="E33" s="97">
        <f>E29+E30+E31+E32</f>
        <v/>
      </c>
      <c r="F33" s="97">
        <f>F29+F30+F31+F32</f>
        <v/>
      </c>
      <c r="G33" s="97">
        <f>G29+G30+G31+G32</f>
        <v/>
      </c>
      <c r="H33" s="96">
        <f>INDEX(C33:G33,MATCH(wi_select,$C$6:$G$6,0))</f>
        <v/>
      </c>
    </row>
    <row r="34">
      <c r="A34" s="8" t="inlineStr">
        <is>
          <t>Marketing</t>
        </is>
      </c>
      <c r="B34" s="26" t="inlineStr">
        <is>
          <t>Value used: marketing (fixed)</t>
        </is>
      </c>
      <c r="C34" s="93">
        <f>v_marketing</f>
        <v/>
      </c>
      <c r="D34" s="93">
        <f>v_marketing</f>
        <v/>
      </c>
      <c r="E34" s="93">
        <f>v_marketing</f>
        <v/>
      </c>
      <c r="F34" s="93">
        <f>v_marketing</f>
        <v/>
      </c>
      <c r="G34" s="93">
        <f>v_marketing</f>
        <v/>
      </c>
      <c r="H34" s="94">
        <f>INDEX(C34:G34,MATCH(wi_select,$C$6:$G$6,0))</f>
        <v/>
      </c>
    </row>
    <row r="35">
      <c r="A35" s="7" t="inlineStr">
        <is>
          <t>Total sales and marketing</t>
        </is>
      </c>
      <c r="B35" s="26" t="inlineStr">
        <is>
          <t>Total sales costs + marketing</t>
        </is>
      </c>
      <c r="C35" s="97">
        <f>C33+C34</f>
        <v/>
      </c>
      <c r="D35" s="97">
        <f>D33+D34</f>
        <v/>
      </c>
      <c r="E35" s="97">
        <f>E33+E34</f>
        <v/>
      </c>
      <c r="F35" s="97">
        <f>F33+F34</f>
        <v/>
      </c>
      <c r="G35" s="97">
        <f>G33+G34</f>
        <v/>
      </c>
      <c r="H35" s="96">
        <f>INDEX(C35:G35,MATCH(wi_select,$C$6:$G$6,0))</f>
        <v/>
      </c>
    </row>
    <row r="36">
      <c r="A36" s="8" t="inlineStr">
        <is>
          <t>General and administrative</t>
        </is>
      </c>
      <c r="B36" s="26" t="inlineStr">
        <is>
          <t>Revenue × G&amp;A %</t>
        </is>
      </c>
      <c r="C36" s="93">
        <f>C25*v_gna_pct</f>
        <v/>
      </c>
      <c r="D36" s="93">
        <f>D25*v_gna_pct</f>
        <v/>
      </c>
      <c r="E36" s="93">
        <f>E25*v_gna_pct</f>
        <v/>
      </c>
      <c r="F36" s="93">
        <f>F25*v_gna_pct</f>
        <v/>
      </c>
      <c r="G36" s="93">
        <f>G25*v_gna_pct</f>
        <v/>
      </c>
      <c r="H36" s="94">
        <f>INDEX(C36:G36,MATCH(wi_select,$C$6:$G$6,0))</f>
        <v/>
      </c>
    </row>
    <row r="37">
      <c r="A37" s="7" t="inlineStr">
        <is>
          <t>Total operating expenses</t>
        </is>
      </c>
      <c r="B37" s="26" t="inlineStr">
        <is>
          <t>R&amp;D + sales and marketing + G&amp;A</t>
        </is>
      </c>
      <c r="C37" s="97">
        <f>C28+C35+C36</f>
        <v/>
      </c>
      <c r="D37" s="97">
        <f>D28+D35+D36</f>
        <v/>
      </c>
      <c r="E37" s="97">
        <f>E28+E35+E36</f>
        <v/>
      </c>
      <c r="F37" s="97">
        <f>F28+F35+F36</f>
        <v/>
      </c>
      <c r="G37" s="97">
        <f>G28+G35+G36</f>
        <v/>
      </c>
      <c r="H37" s="96">
        <f>INDEX(C37:G37,MATCH(wi_select,$C$6:$G$6,0))</f>
        <v/>
      </c>
    </row>
    <row r="38">
      <c r="A38" s="7" t="inlineStr">
        <is>
          <t>Operating income</t>
        </is>
      </c>
      <c r="B38" s="26" t="inlineStr">
        <is>
          <t>Gross profit − operating expenses</t>
        </is>
      </c>
      <c r="C38" s="98">
        <f>C27-C37</f>
        <v/>
      </c>
      <c r="D38" s="98">
        <f>D27-D37</f>
        <v/>
      </c>
      <c r="E38" s="98">
        <f>E27-E37</f>
        <v/>
      </c>
      <c r="F38" s="98">
        <f>F27-F37</f>
        <v/>
      </c>
      <c r="G38" s="98">
        <f>G27-G37</f>
        <v/>
      </c>
      <c r="H38" s="96">
        <f>INDEX(C38:G38,MATCH(wi_select,$C$6:$G$6,0))</f>
        <v/>
      </c>
    </row>
    <row r="39">
      <c r="A39" s="8" t="inlineStr">
        <is>
          <t>Operating margin</t>
        </is>
      </c>
      <c r="B39" s="26" t="inlineStr">
        <is>
          <t>Operating income ÷ revenue</t>
        </is>
      </c>
      <c r="C39" s="89">
        <f>IF(C25=0,"",C38/C25)</f>
        <v/>
      </c>
      <c r="D39" s="89">
        <f>IF(D25=0,"",D38/D25)</f>
        <v/>
      </c>
      <c r="E39" s="89">
        <f>IF(E25=0,"",E38/E25)</f>
        <v/>
      </c>
      <c r="F39" s="89">
        <f>IF(F25=0,"",F38/F25)</f>
        <v/>
      </c>
      <c r="G39" s="89">
        <f>IF(G25=0,"",G38/G25)</f>
        <v/>
      </c>
      <c r="H39" s="90">
        <f>INDEX(C39:G39,MATCH(wi_select,$C$6:$G$6,0))</f>
        <v/>
      </c>
    </row>
    <row r="40">
      <c r="A40" s="19" t="inlineStr">
        <is>
          <t>Compared with baseline</t>
        </is>
      </c>
    </row>
    <row r="41">
      <c r="A41" s="8" t="inlineStr">
        <is>
          <t>Total costs</t>
        </is>
      </c>
      <c r="B41" s="26" t="inlineStr">
        <is>
          <t>Cost of revenue + operating expenses</t>
        </is>
      </c>
      <c r="C41" s="93">
        <f>C26+C37</f>
        <v/>
      </c>
      <c r="D41" s="93">
        <f>D26+D37</f>
        <v/>
      </c>
      <c r="E41" s="93">
        <f>E26+E37</f>
        <v/>
      </c>
      <c r="F41" s="93">
        <f>F26+F37</f>
        <v/>
      </c>
      <c r="G41" s="93">
        <f>G26+G37</f>
        <v/>
      </c>
      <c r="H41" s="94">
        <f>INDEX(C41:G41,MATCH(wi_select,$C$6:$G$6,0))</f>
        <v/>
      </c>
    </row>
    <row r="42">
      <c r="A42" s="8" t="inlineStr">
        <is>
          <t>Change in revenue</t>
        </is>
      </c>
      <c r="B42" s="26" t="inlineStr">
        <is>
          <t>Revenue − baseline revenue</t>
        </is>
      </c>
      <c r="C42" s="99" t="inlineStr"/>
      <c r="D42" s="100">
        <f>D25-$C$25</f>
        <v/>
      </c>
      <c r="E42" s="100">
        <f>E25-$C$25</f>
        <v/>
      </c>
      <c r="F42" s="100">
        <f>F25-$C$25</f>
        <v/>
      </c>
      <c r="G42" s="100">
        <f>G25-$C$25</f>
        <v/>
      </c>
      <c r="H42" s="101">
        <f>INDEX(C42:G42,MATCH(wi_select,$C$6:$G$6,0))</f>
        <v/>
      </c>
    </row>
    <row r="43">
      <c r="A43" s="8" t="inlineStr">
        <is>
          <t>Change in total costs</t>
        </is>
      </c>
      <c r="B43" s="26" t="inlineStr">
        <is>
          <t>Total costs − baseline total costs</t>
        </is>
      </c>
      <c r="C43" s="99" t="inlineStr"/>
      <c r="D43" s="100">
        <f>D41-$C$41</f>
        <v/>
      </c>
      <c r="E43" s="100">
        <f>E41-$C$41</f>
        <v/>
      </c>
      <c r="F43" s="100">
        <f>F41-$C$41</f>
        <v/>
      </c>
      <c r="G43" s="100">
        <f>G41-$C$41</f>
        <v/>
      </c>
      <c r="H43" s="101">
        <f>INDEX(C43:G43,MATCH(wi_select,$C$6:$G$6,0))</f>
        <v/>
      </c>
    </row>
    <row r="44">
      <c r="A44" s="7" t="inlineStr">
        <is>
          <t>Change in operating income</t>
        </is>
      </c>
      <c r="B44" s="26" t="inlineStr">
        <is>
          <t>Operating income − baseline operating income</t>
        </is>
      </c>
      <c r="C44" s="102" t="inlineStr"/>
      <c r="D44" s="103">
        <f>D38-$C$38</f>
        <v/>
      </c>
      <c r="E44" s="103">
        <f>E38-$C$38</f>
        <v/>
      </c>
      <c r="F44" s="103">
        <f>F38-$C$38</f>
        <v/>
      </c>
      <c r="G44" s="103">
        <f>G38-$C$38</f>
        <v/>
      </c>
      <c r="H44" s="103">
        <f>INDEX(C44:G44,MATCH(wi_select,$C$6:$G$6,0))</f>
        <v/>
      </c>
    </row>
    <row r="45">
      <c r="A45" s="8" t="inlineStr">
        <is>
          <t>Change in operating income, %</t>
        </is>
      </c>
      <c r="B45" s="26" t="inlineStr">
        <is>
          <t>Change ÷ baseline operating income</t>
        </is>
      </c>
      <c r="C45" s="104" t="inlineStr"/>
      <c r="D45" s="83">
        <f>IF($C$38=0,"",D44/ABS($C$38))</f>
        <v/>
      </c>
      <c r="E45" s="83">
        <f>IF($C$38=0,"",E44/ABS($C$38))</f>
        <v/>
      </c>
      <c r="F45" s="83">
        <f>IF($C$38=0,"",F44/ABS($C$38))</f>
        <v/>
      </c>
      <c r="G45" s="83">
        <f>IF($C$38=0,"",G44/ABS($C$38))</f>
        <v/>
      </c>
      <c r="H45" s="84">
        <f>INDEX(C45:G45,MATCH(wi_select,$C$6:$G$6,0))</f>
        <v/>
      </c>
    </row>
    <row r="46">
      <c r="A46" s="7" t="inlineStr">
        <is>
          <t>True-up</t>
        </is>
      </c>
      <c r="B46" s="26" t="inlineStr">
        <is>
          <t>Change in revenue − change in costs − change in operating income = 0</t>
        </is>
      </c>
      <c r="C46" s="105" t="inlineStr">
        <is>
          <t>—</t>
        </is>
      </c>
      <c r="D46" s="106">
        <f>IF(ABS(D42-D43-D44)&lt;1,"Balanced","Check")</f>
        <v/>
      </c>
      <c r="E46" s="106">
        <f>IF(ABS(E42-E43-E44)&lt;1,"Balanced","Check")</f>
        <v/>
      </c>
      <c r="F46" s="106">
        <f>IF(ABS(F42-F43-F44)&lt;1,"Balanced","Check")</f>
        <v/>
      </c>
      <c r="G46" s="106">
        <f>IF(ABS(G42-G43-G44)&lt;1,"Balanced","Check")</f>
        <v/>
      </c>
      <c r="H46" s="107">
        <f>INDEX(C46:G46,MATCH(wi_select,$C$6:$G$6,0))</f>
        <v/>
      </c>
    </row>
    <row r="47">
      <c r="A47" s="8" t="inlineStr">
        <is>
          <t>Percentage net gain (as-is definition)</t>
        </is>
      </c>
      <c r="B47" s="26" t="inlineStr">
        <is>
          <t>(Change in revenue − change in sales costs) ÷ baseline revenue</t>
        </is>
      </c>
      <c r="C47" s="104" t="inlineStr"/>
      <c r="D47" s="83">
        <f>(D42-(D33-$C$33))/$C$25</f>
        <v/>
      </c>
      <c r="E47" s="83">
        <f>(E42-(E33-$C$33))/$C$25</f>
        <v/>
      </c>
      <c r="F47" s="83">
        <f>(F42-(F33-$C$33))/$C$25</f>
        <v/>
      </c>
      <c r="G47" s="83">
        <f>(G42-(G33-$C$33))/$C$25</f>
        <v/>
      </c>
      <c r="H47" s="84">
        <f>INDEX(C47:G47,MATCH(wi_select,$C$6:$G$6,0))</f>
        <v/>
      </c>
    </row>
    <row r="48">
      <c r="A48" s="8" t="inlineStr">
        <is>
          <t>Sales and marketing ROI</t>
        </is>
      </c>
      <c r="B48" s="26" t="inlineStr">
        <is>
          <t>(Revenue − sales and marketing) ÷ sales and marketing</t>
        </is>
      </c>
      <c r="C48" s="89">
        <f>IF(C35=0,"",(C25-C35)/C35)</f>
        <v/>
      </c>
      <c r="D48" s="89">
        <f>IF(D35=0,"",(D25-D35)/D35)</f>
        <v/>
      </c>
      <c r="E48" s="89">
        <f>IF(E35=0,"",(E25-E35)/E35)</f>
        <v/>
      </c>
      <c r="F48" s="89">
        <f>IF(F35=0,"",(F25-F35)/F35)</f>
        <v/>
      </c>
      <c r="G48" s="89">
        <f>IF(G35=0,"",(G25-G35)/G35)</f>
        <v/>
      </c>
      <c r="H48" s="90">
        <f>INDEX(C48:G48,MATCH(wi_select,$C$6:$G$6,0))</f>
        <v/>
      </c>
    </row>
    <row r="49">
      <c r="A49" s="19" t="inlineStr">
        <is>
          <t>Guardrails</t>
        </is>
      </c>
    </row>
    <row r="50" ht="40" customHeight="1">
      <c r="A50" s="8" t="inlineStr">
        <is>
          <t>Guardrail</t>
        </is>
      </c>
      <c r="B50" s="26" t="inlineStr">
        <is>
          <t>Close rate above 100%, cycle at or below zero, or pipeline (not capacity) limiting revenue</t>
        </is>
      </c>
      <c r="C50" s="108">
        <f>IF(C19&gt;1,"Close rate above 100%: reduce the improvement",IF(C17&lt;=0,"Cycle must stay above zero",IF(AND(C14&lt;&gt;"",N(C14)&lt;C13),"Salespeople hold fewer opportunities than they can manage: the pipeline limits revenue","OK")))</f>
        <v/>
      </c>
      <c r="D50" s="108">
        <f>IF(D19&gt;1,"Close rate above 100%: reduce the improvement",IF(D17&lt;=0,"Cycle must stay above zero",IF(AND(D14&lt;&gt;"",N(D14)&lt;D13),"Salespeople hold fewer opportunities than they can manage: the pipeline limits revenue","OK")))</f>
        <v/>
      </c>
      <c r="E50" s="108">
        <f>IF(E19&gt;1,"Close rate above 100%: reduce the improvement",IF(E17&lt;=0,"Cycle must stay above zero",IF(AND(E14&lt;&gt;"",N(E14)&lt;E13),"Salespeople hold fewer opportunities than they can manage: the pipeline limits revenue","OK")))</f>
        <v/>
      </c>
      <c r="F50" s="108">
        <f>IF(F19&gt;1,"Close rate above 100%: reduce the improvement",IF(F17&lt;=0,"Cycle must stay above zero",IF(AND(F14&lt;&gt;"",N(F14)&lt;F13),"Salespeople hold fewer opportunities than they can manage: the pipeline limits revenue","OK")))</f>
        <v/>
      </c>
      <c r="G50" s="108">
        <f>IF(G19&gt;1,"Close rate above 100%: reduce the improvement",IF(G17&lt;=0,"Cycle must stay above zero",IF(AND(G14&lt;&gt;"",N(G14)&lt;G13),"Salespeople hold fewer opportunities than they can manage: the pipeline limits revenue","OK")))</f>
        <v/>
      </c>
      <c r="H50" s="109">
        <f>INDEX(C50:G50,MATCH(wi_select,$C$6:$G$6,0))</f>
        <v/>
      </c>
    </row>
    <row r="52">
      <c r="A52" s="19" t="inlineStr">
        <is>
          <t>Enabling constraint: what each lever would have to achieve to reach a target operating income</t>
        </is>
      </c>
    </row>
    <row r="53" ht="28" customHeight="1">
      <c r="A53" s="15" t="inlineStr">
        <is>
          <t>Operating income = revenue × (1 − costs that move with revenue) − costs that do not. Revenue moves one for one with close rate and deal size, and inversely with cycle, so the revenue required converts directly into what each lever would need.</t>
        </is>
      </c>
    </row>
    <row r="54">
      <c r="A54" s="8" t="inlineStr">
        <is>
          <t>Target operating income</t>
        </is>
      </c>
      <c r="B54" s="26" t="inlineStr">
        <is>
          <t>Entered on 2) What-If (optional)</t>
        </is>
      </c>
      <c r="C54" s="110">
        <f>IF(wi_target="","",wi_target)</f>
        <v/>
      </c>
    </row>
    <row r="55">
      <c r="A55" s="8" t="inlineStr">
        <is>
          <t>Costs that move with revenue, % of revenue</t>
        </is>
      </c>
      <c r="B55" s="26" t="inlineStr">
        <is>
          <t>Cost of revenue % + R&amp;D % + G&amp;A % + commission rate</t>
        </is>
      </c>
      <c r="C55" s="111">
        <f>v_cost_of_revenue_pct+v_rnd_pct+v_gna_pct+v_commission_rate</f>
        <v/>
      </c>
    </row>
    <row r="56">
      <c r="A56" s="8" t="inlineStr">
        <is>
          <t>Costs that do not move with revenue</t>
        </is>
      </c>
      <c r="B56" s="26" t="inlineStr">
        <is>
          <t>Baseline pay + travel + sales overhead + marketing</t>
        </is>
      </c>
      <c r="C56" s="110">
        <f>$C$29+$C$30+$C$32+$C$34</f>
        <v/>
      </c>
    </row>
    <row r="57">
      <c r="A57" s="8" t="inlineStr">
        <is>
          <t>Check: baseline operating income from this split</t>
        </is>
      </c>
      <c r="B57" s="26" t="inlineStr">
        <is>
          <t>Baseline revenue × (1 − variable %) − fixed; must equal baseline operating income</t>
        </is>
      </c>
      <c r="C57" s="110">
        <f>$C$25*(1-C55)-C56</f>
        <v/>
      </c>
    </row>
    <row r="58">
      <c r="A58" s="7" t="inlineStr">
        <is>
          <t>Revenue required</t>
        </is>
      </c>
      <c r="B58" s="26" t="inlineStr">
        <is>
          <t>(Target + fixed costs) ÷ (1 − variable %)</t>
        </is>
      </c>
      <c r="C58" s="112">
        <f>IF(C54="","",IF(C55&gt;=1,"",(C54+C56)/(1-C55)))</f>
        <v/>
      </c>
    </row>
    <row r="59">
      <c r="A59" s="7" t="inlineStr">
        <is>
          <t>Revenue increase required</t>
        </is>
      </c>
      <c r="B59" s="26" t="inlineStr">
        <is>
          <t>Revenue required ÷ baseline revenue − 1</t>
        </is>
      </c>
      <c r="C59" s="113">
        <f>IF(C58="","",C58/$C$25-1)</f>
        <v/>
      </c>
    </row>
    <row r="60">
      <c r="A60" s="8" t="inlineStr">
        <is>
          <t>Close rate needed (close rate alone)</t>
        </is>
      </c>
      <c r="B60" s="26" t="inlineStr">
        <is>
          <t>Close rate × (1 + increase); revenue moves one for one with close rate</t>
        </is>
      </c>
      <c r="C60" s="111">
        <f>IF(C59="","",v_win_rate*(1+C59))</f>
        <v/>
      </c>
    </row>
    <row r="61">
      <c r="A61" s="8" t="inlineStr">
        <is>
          <t>Cycle needed, months (cycle alone)</t>
        </is>
      </c>
      <c r="B61" s="26" t="inlineStr">
        <is>
          <t>Cycle ÷ (1 + increase); revenue moves inversely with cycle</t>
        </is>
      </c>
      <c r="C61" s="114">
        <f>IF(C59="","",v_cycle_months/(1+C59))</f>
        <v/>
      </c>
    </row>
    <row r="62">
      <c r="A62" s="8" t="inlineStr">
        <is>
          <t>Deal size needed (deal size alone)</t>
        </is>
      </c>
      <c r="B62" s="26" t="inlineStr">
        <is>
          <t>Deal size × (1 + increase)</t>
        </is>
      </c>
      <c r="C62" s="110">
        <f>IF(C59="","",v_deal_size*(1+C59))</f>
        <v/>
      </c>
    </row>
    <row r="63">
      <c r="A63" s="8" t="inlineStr">
        <is>
          <t>Combined: improvement needed in each of the three</t>
        </is>
      </c>
      <c r="B63" s="26" t="inlineStr">
        <is>
          <t>(1 + increase)^(1/3) − 1, if close rate, cycle and deal size each improve by the same share</t>
        </is>
      </c>
      <c r="C63" s="115">
        <f>IF(C59="","",IF(1+C59&lt;=0,"",(1+C59)^(1/3)-1))</f>
        <v/>
      </c>
    </row>
    <row r="64" ht="28" customHeight="1">
      <c r="A64" s="8" t="inlineStr">
        <is>
          <t>Feasibility</t>
        </is>
      </c>
      <c r="B64" s="26" t="inlineStr">
        <is>
          <t>Flags a close rate above 100% or a target below baseline</t>
        </is>
      </c>
      <c r="C64" s="116">
        <f>IF(C59="","Enter a target operating income on 2) What-If",IF(C59&lt;=0,"Target is at or below baseline operating income",IF(C60&gt;1,"Close rate alone cannot reach the target (would exceed 100%)","Reachable in the model; test whether it is achievable")))</f>
        <v/>
      </c>
      <c r="D64" s="52" t="n"/>
      <c r="E64" s="52" t="n"/>
      <c r="F64" s="52" t="n"/>
      <c r="G64" s="52" t="n"/>
      <c r="H64" s="6" t="n"/>
    </row>
  </sheetData>
  <mergeCells count="9">
    <mergeCell ref="A53:H53"/>
    <mergeCell ref="A7:H7"/>
    <mergeCell ref="A24:H24"/>
    <mergeCell ref="A52:H52"/>
    <mergeCell ref="A11:H11"/>
    <mergeCell ref="A3:I3"/>
    <mergeCell ref="A49:H49"/>
    <mergeCell ref="C64:H64"/>
    <mergeCell ref="A40:H4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Growth Enablement</dc:creator>
  <dc:title>Commercial Effectiveness Model</dc:title>
  <dcterms:created xsi:type="dcterms:W3CDTF">2026-10-25T11:35:26Z</dcterms:created>
  <dcterms:modified xsi:type="dcterms:W3CDTF">2026-10-25T11:35:26Z</dcterms:modified>
</cp:coreProperties>
</file>